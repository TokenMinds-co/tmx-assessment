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Questions" sheetId="2" state="visible" r:id="rId4"/>
    <sheet name="Worked solutions" sheetId="3" state="visible" r:id="rId5"/>
    <sheet name="Rubric" sheetId="4" state="visible" r:id="rId6"/>
    <sheet name="Open data sourc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<sst xmlns="http://schemas.openxmlformats.org/spreadsheetml/2006/main" count="475" uniqueCount="345">
  <si>
    <t xml:space="preserve">Critical Thinking – Skills Assessment</t>
  </si>
  <si>
    <t xml:space="preserve">Test name</t>
  </si>
  <si>
    <t xml:space="preserve">Critical Thinking</t>
  </si>
  <si>
    <t xml:space="preserve">Duration</t>
  </si>
  <si>
    <t xml:space="preserve">12 minutes</t>
  </si>
  <si>
    <t xml:space="preserve">Number of questions</t>
  </si>
  <si>
    <t xml:space="preserve">Question format</t>
  </si>
  <si>
    <t xml:space="preserve">Multiple choice (single answer) – syllogisms, arrangement/sequence puzzles, cause-and-effect inference, assumption identification, statement-relationship items, strengthen/weaken/no-effect items</t>
  </si>
  <si>
    <t xml:space="preserve">Level</t>
  </si>
  <si>
    <t xml:space="preserve">Advanced</t>
  </si>
  <si>
    <t xml:space="preserve">Language of instructions</t>
  </si>
  <si>
    <t xml:space="preserve">English (localisable – items are language-neutral apart from wording)</t>
  </si>
  <si>
    <t xml:space="preserve">Overview</t>
  </si>
  <si>
    <t xml:space="preserve">This Critical Thinking screening test evaluates candidates' skills in critical thinking through inductive and deductive reasoning. It helps identify candidates who can evaluate information and make sound decisions.</t>
  </si>
  <si>
    <t xml:space="preserve">Skills covered</t>
  </si>
  <si>
    <t xml:space="preserve">1. Analyzing syllogisms (Q1–Q4) – deductive validity, modus tollens, recognising invalid inferences
2. Making inferences (Q5–Q8) – arrangements, sequences, cause-and-effect, inference from data
3. Recognizing assumptions (Q9–Q12) – identifying the unstated premise an argument depends on
4. Weighing arguments (Q13–Q16) – statement relationships (contradicts / supports / restates / irrelevant) and evidence evaluation (strengthen / weaken / no effect)</t>
  </si>
  <si>
    <t xml:space="preserve">Relevant for</t>
  </si>
  <si>
    <t xml:space="preserve">Any role that involves a high degree of critical and independent thinking to solve complex problems – analysts, executives, legal roles, computer and data scientists, product managers, consultants.</t>
  </si>
  <si>
    <t xml:space="preserve">Description</t>
  </si>
  <si>
    <t xml:space="preserve">Effective critical thinking requires the ability to actively and skilfully conceptualise, apply, analyse, synthesise and evaluate information to make a judgement or formulate a solution. Employees with strong critical thinking skills can solve issues independently and devise new approaches to complex problems.
This test evaluates candidates' ability to solve syllogisms through deductive reasoning, to interpret sequences and arrangements and draw sound conclusions, to assess cause-and-effect relationships, to recognise assumptions, and to weigh how evidence bears on an argument. Candidates are presented with single or multiple statements and asked to analyse the information and use logic to identify the right answer.
Candidates who score well think independently, distinguish what follows from what merely seems plausible, and resist outside knowledge and intuition when the task requires strict logic.</t>
  </si>
  <si>
    <t xml:space="preserve">Question distribution</t>
  </si>
  <si>
    <t xml:space="preserve">4 questions per skill area. Item families mirror the preview formats: syllogism, inference, assumption, statement relationship, and argument/data.</t>
  </si>
  <si>
    <t xml:space="preserve">Timing guidance</t>
  </si>
  <si>
    <t xml:space="preserve">12 min ÷ 16 = 45 seconds per question. Q5 (arrangement) is the slowest item (~90 s); balance with faster items.</t>
  </si>
  <si>
    <t xml:space="preserve">Scoring</t>
  </si>
  <si>
    <t xml:space="preserve">1 point per correct answer, no negative marking. Score = correct ÷ 16. See 'Rubric'.</t>
  </si>
  <si>
    <t xml:space="preserve">Design principles</t>
  </si>
  <si>
    <t xml:space="preserve">• Every item is solvable from the text alone; real-world plausibility is deliberately irrelevant (and sometimes misleading).
• Each syllogism includes one tempting invalid inference (illicit conversion, affirming the consequent, or existential leap).
• Assumption items: the key is the bridge between evidence and conclusion, not a background fact that is merely compatible with the passage.
• Argument/data items cover strengthen, weaken and no effect so candidates cannot pattern-match.</t>
  </si>
  <si>
    <t xml:space="preserve">ID</t>
  </si>
  <si>
    <t xml:space="preserve">Skill area</t>
  </si>
  <si>
    <t xml:space="preserve">Question type</t>
  </si>
  <si>
    <t xml:space="preserve">Instruction (italic, shown to candidate)</t>
  </si>
  <si>
    <t xml:space="preserve">Passage / premises (shown to candidate)</t>
  </si>
  <si>
    <t xml:space="preserve">Question stem</t>
  </si>
  <si>
    <t xml:space="preserve">Attachment</t>
  </si>
  <si>
    <t xml:space="preserve">Option A</t>
  </si>
  <si>
    <t xml:space="preserve">Option B</t>
  </si>
  <si>
    <t xml:space="preserve">Option C</t>
  </si>
  <si>
    <t xml:space="preserve">Option D</t>
  </si>
  <si>
    <t xml:space="preserve">Key</t>
  </si>
  <si>
    <t xml:space="preserve">Key answer (text)</t>
  </si>
  <si>
    <t xml:space="preserve">Rationale / distractor notes</t>
  </si>
  <si>
    <t xml:space="preserve">Difficulty</t>
  </si>
  <si>
    <t xml:space="preserve">Q1</t>
  </si>
  <si>
    <t xml:space="preserve">Analyzing syllogisms</t>
  </si>
  <si>
    <t xml:space="preserve">Syllogism (valid conclusion)</t>
  </si>
  <si>
    <t xml:space="preserve">For this question, consider the following premises as factual and choose which conclusion logically follows from these premises. To logically follow, the conclusion must be a logical consequence of the premises. Do not consider these premises or conclusions based on information or beliefs outside of this test, including your understanding of reality, known information, or educated assumptions.</t>
  </si>
  <si>
    <t xml:space="preserve">Premise 1: All contractors must sign a non-disclosure agreement.
Premise 2: Some consultants are contractors.</t>
  </si>
  <si>
    <t xml:space="preserve">Which conclusion logically follows from these premises?</t>
  </si>
  <si>
    <t xml:space="preserve">None</t>
  </si>
  <si>
    <t xml:space="preserve">All consultants must sign a non-disclosure agreement.</t>
  </si>
  <si>
    <t xml:space="preserve">Some consultants must sign a non-disclosure agreement.</t>
  </si>
  <si>
    <t xml:space="preserve">No consultants are contractors.</t>
  </si>
  <si>
    <t xml:space="preserve">All contractors are consultants.</t>
  </si>
  <si>
    <t xml:space="preserve">B</t>
  </si>
  <si>
    <t xml:space="preserve">Valid form (All M are P; Some S are M → Some S are P). A over-generalises 'some' to 'all'; C contradicts premise 2; D is an illicit conversion of premise 2.</t>
  </si>
  <si>
    <t xml:space="preserve">Easy</t>
  </si>
  <si>
    <t xml:space="preserve">Q2</t>
  </si>
  <si>
    <t xml:space="preserve">Syllogism (negative premise)</t>
  </si>
  <si>
    <t xml:space="preserve">Premise 1: No temporary staff have building access after 8 p.m.
Premise 2: All night-shift workers have building access after 8 p.m.</t>
  </si>
  <si>
    <t xml:space="preserve">No night-shift workers are temporary staff.</t>
  </si>
  <si>
    <t xml:space="preserve">Some temporary staff are night-shift workers.</t>
  </si>
  <si>
    <t xml:space="preserve">All staff with building access after 8 p.m. are night-shift workers.</t>
  </si>
  <si>
    <t xml:space="preserve">No temporary staff work at night.</t>
  </si>
  <si>
    <t xml:space="preserve">A</t>
  </si>
  <si>
    <t xml:space="preserve">Valid (No P are M; All S are M → No S are P). B contradicts the valid conclusion; C is an illicit conversion of premise 2; D uses 'work at night', which appears in neither premise.</t>
  </si>
  <si>
    <t xml:space="preserve">Medium</t>
  </si>
  <si>
    <t xml:space="preserve">Q3</t>
  </si>
  <si>
    <t xml:space="preserve">Conditional reasoning (modus tollens)</t>
  </si>
  <si>
    <t xml:space="preserve">Premise 1: If a shipment is delayed, the customer receives a discount code.
Premise 2: Customer Reyes did not receive a discount code.</t>
  </si>
  <si>
    <t xml:space="preserve">Customer Reyes's shipment was delayed.</t>
  </si>
  <si>
    <t xml:space="preserve">Customer Reyes received a refund instead.</t>
  </si>
  <si>
    <t xml:space="preserve">Discount codes are only issued for delayed shipments.</t>
  </si>
  <si>
    <t xml:space="preserve">Customer Reyes's shipment was not delayed.</t>
  </si>
  <si>
    <t xml:space="preserve">D</t>
  </si>
  <si>
    <t xml:space="preserve">Modus tollens: If D then C; not C → not D. A contradicts; B introduces information not in the premises; C converts the conditional (only-if is not stated).</t>
  </si>
  <si>
    <t xml:space="preserve">Q4</t>
  </si>
  <si>
    <t xml:space="preserve">Recognising an invalid inference</t>
  </si>
  <si>
    <t xml:space="preserve">Premise 1: All approved invoices are logged in the finance system.
Premise 2: Invoice 4471 is logged in the finance system.</t>
  </si>
  <si>
    <t xml:space="preserve">Invoice 4471 is approved.</t>
  </si>
  <si>
    <t xml:space="preserve">All invoices logged in the finance system are approved.</t>
  </si>
  <si>
    <t xml:space="preserve">Invoice 4471 is not approved.</t>
  </si>
  <si>
    <t xml:space="preserve">None of these conclusions necessarily follows.</t>
  </si>
  <si>
    <t xml:space="preserve">Classic affirming-the-consequent trap (A). Premises allow logged-but-unapproved invoices, so neither A nor C follows; B is an illicit conversion. Strong candidates must be willing to pick 'none'.</t>
  </si>
  <si>
    <t xml:space="preserve">Hard</t>
  </si>
  <si>
    <t xml:space="preserve">Q5</t>
  </si>
  <si>
    <t xml:space="preserve">Making inferences</t>
  </si>
  <si>
    <t xml:space="preserve">Arrangement puzzle</t>
  </si>
  <si>
    <t xml:space="preserve">For this question, treat the information given as complete and accurate. Choose the option that can be concluded from the information alone, without relying on outside knowledge or assumptions.</t>
  </si>
  <si>
    <t xml:space="preserve">Five colleagues – Lena, Omar, Priya, Sam and Tom – sit in a single row of five desks numbered 1 to 5 from left to right.
• Sam sits at desk 3.
• Lena sits at one end of the row.
• Priya sits immediately to the left of Tom.
• Omar sits next to Lena.</t>
  </si>
  <si>
    <t xml:space="preserve">Which of the following must be true?</t>
  </si>
  <si>
    <t xml:space="preserve">None (optional: simple 5-desk row diagram)</t>
  </si>
  <si>
    <t xml:space="preserve">Tom sits at an end of the row.</t>
  </si>
  <si>
    <t xml:space="preserve">Priya sits at desk 1.</t>
  </si>
  <si>
    <t xml:space="preserve">Omar sits next to Sam.</t>
  </si>
  <si>
    <t xml:space="preserve">Lena sits next to Tom.</t>
  </si>
  <si>
    <t xml:space="preserve">C</t>
  </si>
  <si>
    <t xml:space="preserve">Two valid arrangements: L-O-S-P-T and P-T-S-O-L. Omar is at desk 2 or 4, always adjacent to Sam (desk 3). A and B are true in only one arrangement; D is true in neither.</t>
  </si>
  <si>
    <t xml:space="preserve">Q6</t>
  </si>
  <si>
    <t xml:space="preserve">Sequence</t>
  </si>
  <si>
    <t xml:space="preserve">A security code changes every week following a fixed rule. The codes so far have been: 3, 5, 9, 17, 33.</t>
  </si>
  <si>
    <t xml:space="preserve">Following the same rule, what will next week's code be?</t>
  </si>
  <si>
    <t xml:space="preserve">49</t>
  </si>
  <si>
    <t xml:space="preserve">57</t>
  </si>
  <si>
    <t xml:space="preserve">65</t>
  </si>
  <si>
    <t xml:space="preserve">66</t>
  </si>
  <si>
    <t xml:space="preserve">Differences double (+2, +4, +8, +16) → +32 → 65. Equivalently each term is 2n − 1. 49 assumes +16 again; 66 doubles the last term; 57 is +24.</t>
  </si>
  <si>
    <t xml:space="preserve">Q7</t>
  </si>
  <si>
    <t xml:space="preserve">Cause and effect</t>
  </si>
  <si>
    <t xml:space="preserve">Since the company introduced a four-day working week in March, recorded sick days have fallen by 20%. Also in March, the company moved to a new office building with a much better ventilation system.</t>
  </si>
  <si>
    <t xml:space="preserve">Which of the following is the most reasonable conclusion?</t>
  </si>
  <si>
    <t xml:space="preserve">The four-day week caused the reduction in sick days.</t>
  </si>
  <si>
    <t xml:space="preserve">The improved ventilation caused the reduction in sick days.</t>
  </si>
  <si>
    <t xml:space="preserve">It cannot be determined from this information which change, if either, caused the reduction.</t>
  </si>
  <si>
    <t xml:space="preserve">Sick days will continue to fall over the coming months.</t>
  </si>
  <si>
    <t xml:space="preserve">Two simultaneous changes (confounding); the data cannot separate their effects, and a third cause is possible. D extrapolates beyond the data.</t>
  </si>
  <si>
    <t xml:space="preserve">Q8</t>
  </si>
  <si>
    <t xml:space="preserve">Inference from data</t>
  </si>
  <si>
    <t xml:space="preserve">A company has 100 employees. All 40 employees who attended an optional training session passed the annual compliance audit. Of the 60 employees who did not attend, 45 passed.</t>
  </si>
  <si>
    <t xml:space="preserve">Which of the following can be concluded from the information?</t>
  </si>
  <si>
    <t xml:space="preserve">Attending the training causes employees to pass the audit.</t>
  </si>
  <si>
    <t xml:space="preserve">More than half of the employees attended the training.</t>
  </si>
  <si>
    <t xml:space="preserve">The pass rate was higher among employees who attended than among those who did not.</t>
  </si>
  <si>
    <t xml:space="preserve">The employees who failed would have passed if they had attended the training.</t>
  </si>
  <si>
    <t xml:space="preserve">100% vs 75% – a descriptive comparison that follows directly. A and D are causal/counterfactual claims the data cannot support (self-selection); B is false (40%).</t>
  </si>
  <si>
    <t xml:space="preserve">Q9</t>
  </si>
  <si>
    <t xml:space="preserve">Recognizing assumptions</t>
  </si>
  <si>
    <t xml:space="preserve">Assumption</t>
  </si>
  <si>
    <t xml:space="preserve">For this question, consider the passage below and identify which assumption the passage's argument most logically relies on or depends upon.</t>
  </si>
  <si>
    <t xml:space="preserve">Passage: Our helpdesk resolves 90% of tickets within 24 hours. Therefore, customers are satisfied with our support.</t>
  </si>
  <si>
    <t xml:space="preserve">Which one of the following is an assumption upon which the passage's argument depends?</t>
  </si>
  <si>
    <t xml:space="preserve">24 hours is faster than the resolution time of competitors.</t>
  </si>
  <si>
    <t xml:space="preserve">Customers judge support quality mainly by how quickly their ticket is resolved.</t>
  </si>
  <si>
    <t xml:space="preserve">The remaining 10% of tickets are unusually complex.</t>
  </si>
  <si>
    <t xml:space="preserve">The helpdesk is adequately staffed.</t>
  </si>
  <si>
    <t xml:space="preserve">The argument jumps from speed to satisfaction; it only works if speed is what drives satisfaction. A, C and D are compatible with the passage but the conclusion does not depend on them.</t>
  </si>
  <si>
    <t xml:space="preserve">Q10</t>
  </si>
  <si>
    <t xml:space="preserve">Passage: To reduce staff turnover, the company will raise all salaries by 5% next quarter. This will stop employees from leaving.</t>
  </si>
  <si>
    <t xml:space="preserve">A 5% raise is larger than what competing employers offer.</t>
  </si>
  <si>
    <t xml:space="preserve">Employees are leaving mainly for pay-related reasons.</t>
  </si>
  <si>
    <t xml:space="preserve">The company can afford the salary increase.</t>
  </si>
  <si>
    <t xml:space="preserve">Staff turnover is currently above the industry average.</t>
  </si>
  <si>
    <t xml:space="preserve">If people leave for non-pay reasons the raise cannot 'stop' them, so the argument depends on B. C is about feasibility, not logic; A and D are not required.</t>
  </si>
  <si>
    <t xml:space="preserve">Q11</t>
  </si>
  <si>
    <t xml:space="preserve">Assumption (alternative cause)</t>
  </si>
  <si>
    <t xml:space="preserve">Passage: The redesigned website has increased sales. Sales rose 12% in the month after the new design launched.</t>
  </si>
  <si>
    <t xml:space="preserve">Sales will continue to rise in the following months.</t>
  </si>
  <si>
    <t xml:space="preserve">The new design is visually more attractive than the old one.</t>
  </si>
  <si>
    <t xml:space="preserve">No other factor, such as a marketing campaign or seasonal demand, explains the rise in sales.</t>
  </si>
  <si>
    <t xml:space="preserve">Most customers noticed that the website had changed.</t>
  </si>
  <si>
    <t xml:space="preserve">Post-hoc reasoning: the conclusion requires ruling out alternative causes. B and D are plausible mechanisms but the argument does not depend on either; A is a prediction, not a premise.</t>
  </si>
  <si>
    <t xml:space="preserve">Q12</t>
  </si>
  <si>
    <t xml:space="preserve">Assumption (decision rule)</t>
  </si>
  <si>
    <t xml:space="preserve">Passage: The two finalists for the analyst position have identical qualifications and experience. Therefore, we should hire whichever candidate accepts the lower salary.</t>
  </si>
  <si>
    <t xml:space="preserve">A candidate who accepts a lower salary is less confident in their abilities.</t>
  </si>
  <si>
    <t xml:space="preserve">Nothing other than qualifications, experience and salary should influence the hiring decision.</t>
  </si>
  <si>
    <t xml:space="preserve">Both candidates will accept an offer if one is made.</t>
  </si>
  <si>
    <t xml:space="preserve">The company's budget for the position is limited.</t>
  </si>
  <si>
    <t xml:space="preserve">The conclusion treats salary as the tie-breaker, which is only valid if no other relevant differences exist (e.g. team fit, references). D is a motive, not a logical requirement.</t>
  </si>
  <si>
    <t xml:space="preserve">Q13</t>
  </si>
  <si>
    <t xml:space="preserve">Weighing arguments</t>
  </si>
  <si>
    <t xml:space="preserve">Statement relationship</t>
  </si>
  <si>
    <t xml:space="preserve">For this question, consider the statements below and choose the option that best describes whether Statement 2 contradicts, supports, restates, or is irrelevant to the logic of Statement 1. Contradicts means it denies or implies the opposite; supports means it verifies or makes more certain; restates means it says again or in a very similar way; is irrelevant to means it does not affect or apply.</t>
  </si>
  <si>
    <t xml:space="preserve">Statement 1: Remote teams are less productive than co-located teams because the informal conversations that spark new ideas do not happen online.
Statement 2: Most breakthrough ideas at our company have come from scheduled brainstorming sessions rather than from casual conversations.</t>
  </si>
  <si>
    <t xml:space="preserve">Which of the following best describes the logical relationship between these statements?</t>
  </si>
  <si>
    <t xml:space="preserve">Statement 2 contradicts Statement 1.</t>
  </si>
  <si>
    <t xml:space="preserve">Statement 2 supports Statement 1.</t>
  </si>
  <si>
    <t xml:space="preserve">Statement 2 restates Statement 1.</t>
  </si>
  <si>
    <t xml:space="preserve">Statement 2 is irrelevant to Statement 1.</t>
  </si>
  <si>
    <t xml:space="preserve">Statement 1 rests on the premise that informal conversation is the source of ideas; Statement 2 implies the opposite, undermining that reasoning. Candidates who focus only on the conclusion ('less productive') may wrongly choose 'irrelevant'.</t>
  </si>
  <si>
    <t xml:space="preserve">Q14</t>
  </si>
  <si>
    <t xml:space="preserve">Statement 1: Hiring decisions should rely on structured interview scores because such scores are more consistent between different interviewers.
Statement 2: Most candidates prefer video interviews to in-person interviews because they save travel time.</t>
  </si>
  <si>
    <t xml:space="preserve">Both statements are about interviews, but Statement 2 concerns the medium and candidate preference, which has no bearing on scoring consistency. Tests resisting topical similarity.</t>
  </si>
  <si>
    <t xml:space="preserve">Q15</t>
  </si>
  <si>
    <t xml:space="preserve">Argument + data (strengthen / weaken / no effect)</t>
  </si>
  <si>
    <t xml:space="preserve">For this question, consider the following argument and related piece of data. Then decide the relationship of the piece of data to the strength of the argument. The data strengthens when it adds credibility; it weakens when it reduces credibility; it has no effect if it does not affect the argument's credibility.</t>
  </si>
  <si>
    <t xml:space="preserve">Argument: Offering free shipping increases online sales, because shipping costs are the most common reason shoppers abandon their carts.
Piece of data: A retailer that introduced free shipping saw cart abandonment fall from 70% to 50%, while total orders rose by 18%.</t>
  </si>
  <si>
    <t xml:space="preserve">Does the piece of data strengthen, weaken, or have no effect on the persuasiveness of the argument?</t>
  </si>
  <si>
    <t xml:space="preserve">Strengthen</t>
  </si>
  <si>
    <t xml:space="preserve">Weaken</t>
  </si>
  <si>
    <t xml:space="preserve">Has no effect</t>
  </si>
  <si>
    <t xml:space="preserve">The data shows the predicted mechanism (less abandonment) and the predicted outcome (more orders) occurring together, adding credibility.</t>
  </si>
  <si>
    <t xml:space="preserve">Q16</t>
  </si>
  <si>
    <t xml:space="preserve">Argument: Mandatory cybersecurity training reduces phishing incidents, because employees learn to recognise suspicious emails.
Piece of data: The company that provides the training also offers courses in data privacy and password management.</t>
  </si>
  <si>
    <t xml:space="preserve">The vendor's other courses say nothing about whether phishing training works. Tests recognising irrelevant-but-related information; pair with Q15 so candidates cannot assume every data item strengthens.</t>
  </si>
  <si>
    <t xml:space="preserve">Summary</t>
  </si>
  <si>
    <t xml:space="preserve">Total questions</t>
  </si>
  <si>
    <t xml:space="preserve">Notes: Key column shows the correct option letter. Q15–Q16 have three options (Option D blank) – do not shuffle their order. For all other items, shuffle options at delivery except keep 'None of these conclusions necessarily follows' (Q4) last.</t>
  </si>
  <si>
    <t xml:space="preserve">Logical form / method</t>
  </si>
  <si>
    <t xml:space="preserve">Step-by-step solution</t>
  </si>
  <si>
    <t xml:space="preserve">Common wrong answer and why</t>
  </si>
  <si>
    <t xml:space="preserve">Categorical syllogism, mood AII (Darii)</t>
  </si>
  <si>
    <t xml:space="preserve">All C → NDA. Some Cons are C. Take one consultant who is a contractor: they must sign. Hence some consultants must sign.</t>
  </si>
  <si>
    <t xml:space="preserve">A – generalises from 'some' to 'all'.</t>
  </si>
  <si>
    <t xml:space="preserve">Categorical syllogism, mood EAE (Camestres)</t>
  </si>
  <si>
    <t xml:space="preserve">Every night-shift worker has access. No temporary staff member has access. So no night-shift worker can be temporary staff.</t>
  </si>
  <si>
    <t xml:space="preserve">D – 'work at night' is a real-world substitution for 'have access after 8 p.m.'; not in the premises.</t>
  </si>
  <si>
    <t xml:space="preserve">Modus tollens</t>
  </si>
  <si>
    <t xml:space="preserve">Delayed → code. No code. Therefore not delayed.</t>
  </si>
  <si>
    <t xml:space="preserve">C – converts 'if delayed then code' into 'code only if delayed'.</t>
  </si>
  <si>
    <t xml:space="preserve">Affirming the consequent (invalid)</t>
  </si>
  <si>
    <t xml:space="preserve">Approved → logged. Logged. Nothing follows about approval: logged invoices may include rejected ones.</t>
  </si>
  <si>
    <t xml:space="preserve">A – the fallacy itself; feels natural because in practice most logged invoices are approved.</t>
  </si>
  <si>
    <t xml:space="preserve">Constraint satisfaction</t>
  </si>
  <si>
    <t xml:space="preserve">Fix Sam = 3. Lena = 1 or 5. The Priya–Tom pair needs two adjacent free desks: only (1,2) or (4,5). If Lena = 1, Omar = 2, so Priya–Tom = 4–5. If Lena = 5, Omar = 4, so Priya–Tom = 1–2. In both, Omar is beside Sam.</t>
  </si>
  <si>
    <t xml:space="preserve">A – true only in the first arrangement.</t>
  </si>
  <si>
    <t xml:space="preserve">Difference pattern</t>
  </si>
  <si>
    <t xml:space="preserve">5−3=2, 9−5=4, 17−9=8, 33−17=16 → next difference 32 → 65.</t>
  </si>
  <si>
    <t xml:space="preserve">49 – repeats the last difference instead of doubling it.</t>
  </si>
  <si>
    <t xml:space="preserve">Confounded causes</t>
  </si>
  <si>
    <t xml:space="preserve">Two interventions began at the same time; the outcome cannot be attributed to either without further data.</t>
  </si>
  <si>
    <t xml:space="preserve">A – accepts the first-mentioned cause (order-of-presentation bias).</t>
  </si>
  <si>
    <t xml:space="preserve">Descriptive vs causal inference</t>
  </si>
  <si>
    <t xml:space="preserve">Attendees: 40/40 = 100%. Non-attendees: 45/60 = 75%. The comparison holds; causation does not (attendance was optional → self-selection).</t>
  </si>
  <si>
    <t xml:space="preserve">A – reads a correlation as a cause.</t>
  </si>
  <si>
    <t xml:space="preserve">Bridge assumption</t>
  </si>
  <si>
    <t xml:space="preserve">Evidence = speed; conclusion = satisfaction. Bridge: speed determines satisfaction.</t>
  </si>
  <si>
    <t xml:space="preserve">A – a comparison with competitors is not needed for the argument.</t>
  </si>
  <si>
    <t xml:space="preserve">Evidence = raise; conclusion = people stop leaving. Bridge: pay is why they leave.</t>
  </si>
  <si>
    <t xml:space="preserve">C – affordability affects whether the plan happens, not whether it would work.</t>
  </si>
  <si>
    <t xml:space="preserve">Alternative-cause assumption</t>
  </si>
  <si>
    <t xml:space="preserve">Temporal sequence (design then sales rise) is offered as proof of cause. Requires that nothing else explains the rise.</t>
  </si>
  <si>
    <t xml:space="preserve">B – attractiveness is a possible mechanism, not a required assumption.</t>
  </si>
  <si>
    <t xml:space="preserve">Decision-rule assumption</t>
  </si>
  <si>
    <t xml:space="preserve">Tie on stated criteria → choose by salary. Valid only if the stated criteria plus salary are the only relevant ones.</t>
  </si>
  <si>
    <t xml:space="preserve">D – budget is a motive; the argument's logic does not rely on it.</t>
  </si>
  <si>
    <t xml:space="preserve">Statement relationship – attack on a premise</t>
  </si>
  <si>
    <t xml:space="preserve">S1's reason: ideas come from informal chat. S2: ideas come from scheduled sessions, not chat. S2 denies the reason → contradicts.</t>
  </si>
  <si>
    <t xml:space="preserve">D – judged only against S1's conclusion, not its reasoning.</t>
  </si>
  <si>
    <t xml:space="preserve">Statement relationship – topical but irrelevant</t>
  </si>
  <si>
    <t xml:space="preserve">S1 is about scoring consistency; S2 about interview medium and travel time. No logical bearing.</t>
  </si>
  <si>
    <t xml:space="preserve">B – assumes anything positive about interviews supports S1.</t>
  </si>
  <si>
    <t xml:space="preserve">Evidence evaluation – strengthen</t>
  </si>
  <si>
    <t xml:space="preserve">Data shows both the mechanism (abandonment down) and the outcome (orders up) after free shipping.</t>
  </si>
  <si>
    <t xml:space="preserve">Has no effect – over-cautious reading; one case is weak but still adds credibility.</t>
  </si>
  <si>
    <t xml:space="preserve">Evidence evaluation – no effect</t>
  </si>
  <si>
    <t xml:space="preserve">Vendor's product range is unrelated to whether phishing training reduces incidents.</t>
  </si>
  <si>
    <t xml:space="preserve">Strengthen – treats the vendor's breadth as a sign of quality; that is outside the argument.</t>
  </si>
  <si>
    <t xml:space="preserve">Assessment rubric – Critical Thinking</t>
  </si>
  <si>
    <t xml:space="preserve">Scoring rules</t>
  </si>
  <si>
    <t xml:space="preserve">1. 1 point per correct answer; 0 for incorrect, skipped or timed-out items. No negative marking.</t>
  </si>
  <si>
    <t xml:space="preserve">2. Overall score = points ÷ total questions (cell B12). Report the four sub-scores as well.</t>
  </si>
  <si>
    <t xml:space="preserve">3. Timer: 12 minutes total; candidates cannot revisit submitted questions. Do not allow calculators or scratch tools beyond pen and paper.</t>
  </si>
  <si>
    <t xml:space="preserve">4. Randomise question order across the whole test (not just within blocks) so pattern-matching on item type is harder.</t>
  </si>
  <si>
    <t xml:space="preserve">5. Because this is an advanced-level test, a mid-range score is normal. Benchmark against your own candidate pool; do not expect most applicants to reach the top band.</t>
  </si>
  <si>
    <t xml:space="preserve">6. Adverse-impact check: review pass rates by demographic group once you have 50+ completions; item Q6 (numeric sequence) is the most likely to show group differences and can be replaced with a verbal sequence if needed.</t>
  </si>
  <si>
    <t xml:space="preserve">Score calculator (enter correct answers in B12)</t>
  </si>
  <si>
    <t xml:space="preserve">Correct answers</t>
  </si>
  <si>
    <t xml:space="preserve">← example value, edit this cell</t>
  </si>
  <si>
    <t xml:space="preserve">Score (%)</t>
  </si>
  <si>
    <t xml:space="preserve">Band</t>
  </si>
  <si>
    <t xml:space="preserve">Score bands</t>
  </si>
  <si>
    <t xml:space="preserve">Min score</t>
  </si>
  <si>
    <t xml:space="preserve">Correct (of 16)</t>
  </si>
  <si>
    <t xml:space="preserve">Interpretation</t>
  </si>
  <si>
    <t xml:space="preserve">Recommended action</t>
  </si>
  <si>
    <t xml:space="preserve">14–16</t>
  </si>
  <si>
    <t xml:space="preserve">Applies formal logic reliably, resists plausible-but-invalid inferences, isolates assumptions and judges evidence accurately.</t>
  </si>
  <si>
    <t xml:space="preserve">Progress. Suitable for roles where independent analytical judgement is core (analyst, legal, data science, senior decision-makers).</t>
  </si>
  <si>
    <t xml:space="preserve">Strong</t>
  </si>
  <si>
    <t xml:space="preserve">11–13</t>
  </si>
  <si>
    <t xml:space="preserve">Sound reasoning with occasional slips – typically on the hardest traps (affirming the consequent, attack-on-premise relationships).</t>
  </si>
  <si>
    <t xml:space="preserve">Progress. For senior analytical roles, add a case interview or work-sample exercise.</t>
  </si>
  <si>
    <t xml:space="preserve">Developing</t>
  </si>
  <si>
    <t xml:space="preserve">8–10</t>
  </si>
  <si>
    <t xml:space="preserve">Handles direct deductions and clear evidence but is influenced by real-world plausibility and topical similarity.</t>
  </si>
  <si>
    <t xml:space="preserve">Progress for roles where analysis is supported by process or review; probe reasoning in interview with a 'think aloud' problem.</t>
  </si>
  <si>
    <t xml:space="preserve">Below expectation</t>
  </si>
  <si>
    <t xml:space="preserve">0–7</t>
  </si>
  <si>
    <t xml:space="preserve">Frequent logical errors; conclusions driven by intuition rather than the information given.</t>
  </si>
  <si>
    <t xml:space="preserve">Do not progress for roles requiring independent critical analysis.</t>
  </si>
  <si>
    <t xml:space="preserve">Skill-level rubric</t>
  </si>
  <si>
    <t xml:space="preserve">Questions</t>
  </si>
  <si>
    <t xml:space="preserve">What a strong candidate does</t>
  </si>
  <si>
    <t xml:space="preserve">Weak signal (≤1/4)</t>
  </si>
  <si>
    <t xml:space="preserve">Underlying construct</t>
  </si>
  <si>
    <t xml:space="preserve">Q1–Q4</t>
  </si>
  <si>
    <t xml:space="preserve">Evaluates validity purely from premise structure; recognises when nothing follows.</t>
  </si>
  <si>
    <t xml:space="preserve">Picks conclusions that are true in reality but not entailed; falls for affirming the consequent and illicit conversion.</t>
  </si>
  <si>
    <t xml:space="preserve">Deductive reasoning (categorical and conditional logic).</t>
  </si>
  <si>
    <t xml:space="preserve">Q5–Q8</t>
  </si>
  <si>
    <t xml:space="preserve">Works systematically through constraints and patterns; separates description from causation; refuses to extrapolate.</t>
  </si>
  <si>
    <t xml:space="preserve">Guesses arrangements, reads correlation as cause, extrapolates trends.</t>
  </si>
  <si>
    <t xml:space="preserve">Inductive and analytical reasoning; understanding of confounding and self-selection.</t>
  </si>
  <si>
    <t xml:space="preserve">Q9–Q12</t>
  </si>
  <si>
    <t xml:space="preserve">Finds the unstated premise that bridges evidence and conclusion, distinguishing it from merely compatible facts.</t>
  </si>
  <si>
    <t xml:space="preserve">Selects background facts or motives instead of the logical bridge.</t>
  </si>
  <si>
    <t xml:space="preserve">Argument analysis (identifying hidden premises, post-hoc and alternative causes).</t>
  </si>
  <si>
    <t xml:space="preserve">Q13–Q16</t>
  </si>
  <si>
    <t xml:space="preserve">Judges relationships between statements by logic, not topic; recognises when data is irrelevant.</t>
  </si>
  <si>
    <t xml:space="preserve">Treats topical similarity as support; assumes all data strengthens.</t>
  </si>
  <si>
    <t xml:space="preserve">Evaluation of evidence and argument strength.</t>
  </si>
  <si>
    <t xml:space="preserve">Legend: blue text / yellow fill = editable inputs (band thresholds A20:A23, correct answers B12). Black = formulas.</t>
  </si>
  <si>
    <t xml:space="preserve">Resource</t>
  </si>
  <si>
    <t xml:space="preserve">Type</t>
  </si>
  <si>
    <t xml:space="preserve">Licence</t>
  </si>
  <si>
    <t xml:space="preserve">Use it for</t>
  </si>
  <si>
    <t xml:space="preserve">URL</t>
  </si>
  <si>
    <t xml:space="preserve">forall x: Calgary – An Introduction to Formal Logic (Magnus, Button, Thomas-Bolduc, Zach)</t>
  </si>
  <si>
    <t xml:space="preserve">Open textbook</t>
  </si>
  <si>
    <t xml:space="preserve">CC BY 4.0</t>
  </si>
  <si>
    <t xml:space="preserve">Syllogism and conditional-logic forms, validity/invalidity, worked examples for new items</t>
  </si>
  <si>
    <t xml:space="preserve">https://forallx.openlogicproject.org/</t>
  </si>
  <si>
    <t xml:space="preserve">Open Logic Project</t>
  </si>
  <si>
    <t xml:space="preserve">Open textbook / source</t>
  </si>
  <si>
    <t xml:space="preserve">Formal logic reference material</t>
  </si>
  <si>
    <t xml:space="preserve">https://openlogicproject.org/</t>
  </si>
  <si>
    <t xml:space="preserve">Introduction to Logic and Critical Thinking (Matthew Van Cleave)</t>
  </si>
  <si>
    <t xml:space="preserve">Informal fallacies, assumption-finding, argument evaluation – excellent for Q9–Q16 style items</t>
  </si>
  <si>
    <t xml:space="preserve">https://open.umn.edu/opentextbooks/textbooks/introduction-to-logic-and-critical-thinking</t>
  </si>
  <si>
    <t xml:space="preserve">Critical Thinking (Stanford Encyclopedia of Philosophy, Hitchcock)</t>
  </si>
  <si>
    <t xml:space="preserve">Reference article</t>
  </si>
  <si>
    <t xml:space="preserve">Free to read (SEP copyright)</t>
  </si>
  <si>
    <t xml:space="preserve">Construct definition and history for the test description</t>
  </si>
  <si>
    <t xml:space="preserve">https://plato.stanford.edu/entries/critical-thinking/</t>
  </si>
  <si>
    <t xml:space="preserve">Facione (1990) – The Delphi Report on critical thinking</t>
  </si>
  <si>
    <t xml:space="preserve">Research report</t>
  </si>
  <si>
    <t xml:space="preserve">Free PDF (Insight Assessment)</t>
  </si>
  <si>
    <t xml:space="preserve">Consensus definition of critical-thinking sub-skills (interpretation, analysis, inference, evaluation)</t>
  </si>
  <si>
    <t xml:space="preserve">https://www.insightassessment.com/article/expert-consensus-on-critical-thinking</t>
  </si>
  <si>
    <t xml:space="preserve">LogiQA 2.0 dataset</t>
  </si>
  <si>
    <t xml:space="preserve">Logical-reasoning MC items (translated civil-service exam)</t>
  </si>
  <si>
    <t xml:space="preserve">Research use – check licence</t>
  </si>
  <si>
    <t xml:space="preserve">Inspiration for inference and assumption item structures; do not reuse items verbatim</t>
  </si>
  <si>
    <t xml:space="preserve">https://github.com/csitfun/LogiQA2.0</t>
  </si>
  <si>
    <t xml:space="preserve">ReClor dataset</t>
  </si>
  <si>
    <t xml:space="preserve">Reading-comprehension logical reasoning items</t>
  </si>
  <si>
    <t xml:space="preserve">Research/non-commercial</t>
  </si>
  <si>
    <t xml:space="preserve">Item-type taxonomy (strengthen, weaken, assumption, inference) useful for tagging</t>
  </si>
  <si>
    <t xml:space="preserve">https://whyu.me/reclor/</t>
  </si>
  <si>
    <t xml:space="preserve">LSAT free sample questions (LSAC)</t>
  </si>
  <si>
    <t xml:space="preserve">Practice items</t>
  </si>
  <si>
    <t xml:space="preserve">Copyrighted – reference only</t>
  </si>
  <si>
    <t xml:space="preserve">Calibrate the difficulty of assumption / strengthen-weaken items</t>
  </si>
  <si>
    <t xml:space="preserve">https://www.lsac.org/lsat/prep</t>
  </si>
  <si>
    <t xml:space="preserve">Watson-Glaser Critical Thinking Appraisal (Pearson)</t>
  </si>
  <si>
    <t xml:space="preserve">Commercial instrument</t>
  </si>
  <si>
    <t xml:space="preserve">The five-subtest structure (inference, assumptions, deduction, interpretation, evaluation of arguments) this test mirrors</t>
  </si>
  <si>
    <t xml:space="preserve">https://www.pearsonassessments.com</t>
  </si>
  <si>
    <t xml:space="preserve">Wikimedia Commons – logic diagrams (Venn/Euler)</t>
  </si>
  <si>
    <t xml:space="preserve">Images</t>
  </si>
  <si>
    <t xml:space="preserve">CC / public domain</t>
  </si>
  <si>
    <t xml:space="preserve">Optional visual for syllogism explanations or arrangement puzzles</t>
  </si>
  <si>
    <t xml:space="preserve">https://commons.wikimedia.org/wiki/Category:Venn_diagrams</t>
  </si>
  <si>
    <t xml:space="preserve">All items are original. Instruction wordings for each item family follow the conventional phrasing used across critical-thinking assessments so candidates know exactly what is being asked.</t>
  </si>
</sst>
</file>

<file path=xl/styles.xml><?xml version="1.0" encoding="utf-8"?>
<styleSheet xmlns="http://schemas.openxmlformats.org/spreadsheetml/2006/main">
  <numFmts count="3">
    <numFmt numFmtId="164" formatCode="General"/>
    <numFmt numFmtId="165" formatCode="0%"/>
    <numFmt numFmtId="166" formatCode="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b val="true"/>
      <sz val="11"/>
      <color rgb="FFFFFFFF"/>
      <name val="Arial"/>
      <family val="0"/>
      <charset val="1"/>
    </font>
    <font>
      <i val="true"/>
      <sz val="9"/>
      <color rgb="FF595959"/>
      <name val="Arial"/>
      <family val="0"/>
      <charset val="1"/>
    </font>
    <font>
      <sz val="10"/>
      <color rgb="FF0000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E2EFDA"/>
        <bgColor rgb="FFFFFFCC"/>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5"/>
  </cols>
  <sheetData>
    <row r="1" customFormat="false" ht="17.35" hidden="false" customHeight="false" outlineLevel="0" collapsed="false">
      <c r="A1" s="1" t="s">
        <v>0</v>
      </c>
    </row>
    <row r="3" customFormat="false" ht="15" hidden="false" customHeight="false" outlineLevel="0" collapsed="false">
      <c r="A3" s="2" t="s">
        <v>1</v>
      </c>
      <c r="B3" s="3" t="s">
        <v>2</v>
      </c>
    </row>
    <row r="4" customFormat="false" ht="15" hidden="false" customHeight="false" outlineLevel="0" collapsed="false">
      <c r="A4" s="2" t="s">
        <v>3</v>
      </c>
      <c r="B4" s="3" t="s">
        <v>4</v>
      </c>
    </row>
    <row r="5" customFormat="false" ht="15" hidden="false" customHeight="false" outlineLevel="0" collapsed="false">
      <c r="A5" s="2" t="s">
        <v>5</v>
      </c>
      <c r="B5" s="3" t="n">
        <f aca="false">Questions!$B$20</f>
        <v>16</v>
      </c>
    </row>
    <row r="6" customFormat="false" ht="23.85" hidden="false" customHeight="false" outlineLevel="0" collapsed="false">
      <c r="A6" s="2" t="s">
        <v>6</v>
      </c>
      <c r="B6" s="3" t="s">
        <v>7</v>
      </c>
    </row>
    <row r="7" customFormat="false" ht="15" hidden="false" customHeight="false" outlineLevel="0" collapsed="false">
      <c r="A7" s="2" t="s">
        <v>8</v>
      </c>
      <c r="B7" s="3" t="s">
        <v>9</v>
      </c>
    </row>
    <row r="8" customFormat="false" ht="15" hidden="false" customHeight="false" outlineLevel="0" collapsed="false">
      <c r="A8" s="2" t="s">
        <v>10</v>
      </c>
      <c r="B8" s="3" t="s">
        <v>11</v>
      </c>
    </row>
    <row r="9" customFormat="false" ht="23.85" hidden="false" customHeight="false" outlineLevel="0" collapsed="false">
      <c r="A9" s="2" t="s">
        <v>12</v>
      </c>
      <c r="B9" s="3" t="s">
        <v>13</v>
      </c>
    </row>
    <row r="10" customFormat="false" ht="57.45" hidden="false" customHeight="false" outlineLevel="0" collapsed="false">
      <c r="A10" s="2" t="s">
        <v>14</v>
      </c>
      <c r="B10" s="3" t="s">
        <v>15</v>
      </c>
    </row>
    <row r="11" customFormat="false" ht="23.85" hidden="false" customHeight="false" outlineLevel="0" collapsed="false">
      <c r="A11" s="2" t="s">
        <v>16</v>
      </c>
      <c r="B11" s="3" t="s">
        <v>17</v>
      </c>
    </row>
    <row r="12" customFormat="false" ht="113.4" hidden="false" customHeight="false" outlineLevel="0" collapsed="false">
      <c r="A12" s="2" t="s">
        <v>18</v>
      </c>
      <c r="B12" s="3" t="s">
        <v>19</v>
      </c>
    </row>
    <row r="13" customFormat="false" ht="23.85" hidden="false" customHeight="false" outlineLevel="0" collapsed="false">
      <c r="A13" s="2" t="s">
        <v>20</v>
      </c>
      <c r="B13" s="3" t="s">
        <v>21</v>
      </c>
    </row>
    <row r="14" customFormat="false" ht="15" hidden="false" customHeight="false" outlineLevel="0" collapsed="false">
      <c r="A14" s="2" t="s">
        <v>22</v>
      </c>
      <c r="B14" s="3" t="s">
        <v>23</v>
      </c>
    </row>
    <row r="15" customFormat="false" ht="15" hidden="false" customHeight="false" outlineLevel="0" collapsed="false">
      <c r="A15" s="2" t="s">
        <v>24</v>
      </c>
      <c r="B15" s="3" t="s">
        <v>25</v>
      </c>
    </row>
    <row r="16" customFormat="false" ht="46.25" hidden="false" customHeight="false" outlineLevel="0" collapsed="false">
      <c r="A16" s="2" t="s">
        <v>26</v>
      </c>
      <c r="B16" s="3"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26"/>
    <col collapsed="false" customWidth="true" hidden="false" outlineLevel="0" max="4" min="4" style="0" width="44"/>
    <col collapsed="false" customWidth="true" hidden="false" outlineLevel="0" max="5" min="5" style="0" width="56"/>
    <col collapsed="false" customWidth="true" hidden="false" outlineLevel="0" max="6" min="6" style="0" width="36"/>
    <col collapsed="false" customWidth="true" hidden="false" outlineLevel="0" max="7" min="7" style="0" width="20"/>
    <col collapsed="false" customWidth="true" hidden="false" outlineLevel="0" max="11" min="8" style="0" width="30"/>
    <col collapsed="false" customWidth="true" hidden="false" outlineLevel="0" max="12" min="12" style="0" width="6"/>
    <col collapsed="false" customWidth="true" hidden="false" outlineLevel="0" max="13" min="13" style="0" width="30"/>
    <col collapsed="false" customWidth="true" hidden="false" outlineLevel="0" max="14" min="14" style="0" width="55"/>
    <col collapsed="false" customWidth="true" hidden="false" outlineLevel="0" max="15" min="15" style="0" width="10"/>
  </cols>
  <sheetData>
    <row r="1" customFormat="false" ht="15" hidden="false" customHeight="false" outlineLevel="0" collapsed="false">
      <c r="A1" s="4" t="s">
        <v>28</v>
      </c>
      <c r="B1" s="4" t="s">
        <v>29</v>
      </c>
      <c r="C1" s="4" t="s">
        <v>30</v>
      </c>
      <c r="D1" s="4" t="s">
        <v>31</v>
      </c>
      <c r="E1" s="4" t="s">
        <v>32</v>
      </c>
      <c r="F1" s="4" t="s">
        <v>33</v>
      </c>
      <c r="G1" s="4" t="s">
        <v>34</v>
      </c>
      <c r="H1" s="4" t="s">
        <v>35</v>
      </c>
      <c r="I1" s="4" t="s">
        <v>36</v>
      </c>
      <c r="J1" s="4" t="s">
        <v>37</v>
      </c>
      <c r="K1" s="4" t="s">
        <v>38</v>
      </c>
      <c r="L1" s="4" t="s">
        <v>39</v>
      </c>
      <c r="M1" s="4" t="s">
        <v>40</v>
      </c>
      <c r="N1" s="4" t="s">
        <v>41</v>
      </c>
      <c r="O1" s="4" t="s">
        <v>42</v>
      </c>
    </row>
    <row r="2" customFormat="false" ht="91" hidden="false" customHeight="false" outlineLevel="0" collapsed="false">
      <c r="A2" s="5" t="s">
        <v>43</v>
      </c>
      <c r="B2" s="5" t="s">
        <v>44</v>
      </c>
      <c r="C2" s="5" t="s">
        <v>45</v>
      </c>
      <c r="D2" s="5" t="s">
        <v>46</v>
      </c>
      <c r="E2" s="5" t="s">
        <v>47</v>
      </c>
      <c r="F2" s="5" t="s">
        <v>48</v>
      </c>
      <c r="G2" s="5" t="s">
        <v>49</v>
      </c>
      <c r="H2" s="5" t="s">
        <v>50</v>
      </c>
      <c r="I2" s="5" t="s">
        <v>51</v>
      </c>
      <c r="J2" s="5" t="s">
        <v>52</v>
      </c>
      <c r="K2" s="5" t="s">
        <v>53</v>
      </c>
      <c r="L2" s="6" t="s">
        <v>54</v>
      </c>
      <c r="M2" s="6" t="s">
        <v>51</v>
      </c>
      <c r="N2" s="5" t="s">
        <v>55</v>
      </c>
      <c r="O2" s="5" t="s">
        <v>56</v>
      </c>
    </row>
    <row r="3" customFormat="false" ht="91" hidden="false" customHeight="false" outlineLevel="0" collapsed="false">
      <c r="A3" s="5" t="s">
        <v>57</v>
      </c>
      <c r="B3" s="5" t="s">
        <v>44</v>
      </c>
      <c r="C3" s="5" t="s">
        <v>58</v>
      </c>
      <c r="D3" s="5" t="s">
        <v>46</v>
      </c>
      <c r="E3" s="5" t="s">
        <v>59</v>
      </c>
      <c r="F3" s="5" t="s">
        <v>48</v>
      </c>
      <c r="G3" s="5" t="s">
        <v>49</v>
      </c>
      <c r="H3" s="5" t="s">
        <v>60</v>
      </c>
      <c r="I3" s="5" t="s">
        <v>61</v>
      </c>
      <c r="J3" s="5" t="s">
        <v>62</v>
      </c>
      <c r="K3" s="5" t="s">
        <v>63</v>
      </c>
      <c r="L3" s="6" t="s">
        <v>64</v>
      </c>
      <c r="M3" s="6" t="s">
        <v>60</v>
      </c>
      <c r="N3" s="5" t="s">
        <v>65</v>
      </c>
      <c r="O3" s="5" t="s">
        <v>66</v>
      </c>
    </row>
    <row r="4" customFormat="false" ht="91" hidden="false" customHeight="false" outlineLevel="0" collapsed="false">
      <c r="A4" s="5" t="s">
        <v>67</v>
      </c>
      <c r="B4" s="5" t="s">
        <v>44</v>
      </c>
      <c r="C4" s="5" t="s">
        <v>68</v>
      </c>
      <c r="D4" s="5" t="s">
        <v>46</v>
      </c>
      <c r="E4" s="5" t="s">
        <v>69</v>
      </c>
      <c r="F4" s="5" t="s">
        <v>48</v>
      </c>
      <c r="G4" s="5" t="s">
        <v>49</v>
      </c>
      <c r="H4" s="5" t="s">
        <v>70</v>
      </c>
      <c r="I4" s="5" t="s">
        <v>71</v>
      </c>
      <c r="J4" s="5" t="s">
        <v>72</v>
      </c>
      <c r="K4" s="5" t="s">
        <v>73</v>
      </c>
      <c r="L4" s="6" t="s">
        <v>74</v>
      </c>
      <c r="M4" s="6" t="s">
        <v>73</v>
      </c>
      <c r="N4" s="5" t="s">
        <v>75</v>
      </c>
      <c r="O4" s="5" t="s">
        <v>66</v>
      </c>
    </row>
    <row r="5" customFormat="false" ht="91" hidden="false" customHeight="false" outlineLevel="0" collapsed="false">
      <c r="A5" s="5" t="s">
        <v>76</v>
      </c>
      <c r="B5" s="5" t="s">
        <v>44</v>
      </c>
      <c r="C5" s="5" t="s">
        <v>77</v>
      </c>
      <c r="D5" s="5" t="s">
        <v>46</v>
      </c>
      <c r="E5" s="5" t="s">
        <v>78</v>
      </c>
      <c r="F5" s="5" t="s">
        <v>48</v>
      </c>
      <c r="G5" s="5" t="s">
        <v>49</v>
      </c>
      <c r="H5" s="5" t="s">
        <v>79</v>
      </c>
      <c r="I5" s="5" t="s">
        <v>80</v>
      </c>
      <c r="J5" s="5" t="s">
        <v>81</v>
      </c>
      <c r="K5" s="5" t="s">
        <v>82</v>
      </c>
      <c r="L5" s="6" t="s">
        <v>74</v>
      </c>
      <c r="M5" s="6" t="s">
        <v>82</v>
      </c>
      <c r="N5" s="5" t="s">
        <v>83</v>
      </c>
      <c r="O5" s="5" t="s">
        <v>84</v>
      </c>
    </row>
    <row r="6" customFormat="false" ht="68.65" hidden="false" customHeight="false" outlineLevel="0" collapsed="false">
      <c r="A6" s="5" t="s">
        <v>85</v>
      </c>
      <c r="B6" s="5" t="s">
        <v>86</v>
      </c>
      <c r="C6" s="5" t="s">
        <v>87</v>
      </c>
      <c r="D6" s="5" t="s">
        <v>88</v>
      </c>
      <c r="E6" s="5" t="s">
        <v>89</v>
      </c>
      <c r="F6" s="5" t="s">
        <v>90</v>
      </c>
      <c r="G6" s="5" t="s">
        <v>91</v>
      </c>
      <c r="H6" s="5" t="s">
        <v>92</v>
      </c>
      <c r="I6" s="5" t="s">
        <v>93</v>
      </c>
      <c r="J6" s="5" t="s">
        <v>94</v>
      </c>
      <c r="K6" s="5" t="s">
        <v>95</v>
      </c>
      <c r="L6" s="6" t="s">
        <v>96</v>
      </c>
      <c r="M6" s="6" t="s">
        <v>94</v>
      </c>
      <c r="N6" s="5" t="s">
        <v>97</v>
      </c>
      <c r="O6" s="5" t="s">
        <v>84</v>
      </c>
    </row>
    <row r="7" customFormat="false" ht="46.25" hidden="false" customHeight="false" outlineLevel="0" collapsed="false">
      <c r="A7" s="5" t="s">
        <v>98</v>
      </c>
      <c r="B7" s="5" t="s">
        <v>86</v>
      </c>
      <c r="C7" s="5" t="s">
        <v>99</v>
      </c>
      <c r="D7" s="5" t="s">
        <v>88</v>
      </c>
      <c r="E7" s="5" t="s">
        <v>100</v>
      </c>
      <c r="F7" s="5" t="s">
        <v>101</v>
      </c>
      <c r="G7" s="5" t="s">
        <v>49</v>
      </c>
      <c r="H7" s="5" t="s">
        <v>102</v>
      </c>
      <c r="I7" s="5" t="s">
        <v>103</v>
      </c>
      <c r="J7" s="5" t="s">
        <v>104</v>
      </c>
      <c r="K7" s="5" t="s">
        <v>105</v>
      </c>
      <c r="L7" s="6" t="s">
        <v>96</v>
      </c>
      <c r="M7" s="6" t="s">
        <v>104</v>
      </c>
      <c r="N7" s="5" t="s">
        <v>106</v>
      </c>
      <c r="O7" s="5" t="s">
        <v>66</v>
      </c>
    </row>
    <row r="8" customFormat="false" ht="46.25" hidden="false" customHeight="false" outlineLevel="0" collapsed="false">
      <c r="A8" s="5" t="s">
        <v>107</v>
      </c>
      <c r="B8" s="5" t="s">
        <v>86</v>
      </c>
      <c r="C8" s="5" t="s">
        <v>108</v>
      </c>
      <c r="D8" s="5" t="s">
        <v>88</v>
      </c>
      <c r="E8" s="5" t="s">
        <v>109</v>
      </c>
      <c r="F8" s="5" t="s">
        <v>110</v>
      </c>
      <c r="G8" s="5" t="s">
        <v>49</v>
      </c>
      <c r="H8" s="5" t="s">
        <v>111</v>
      </c>
      <c r="I8" s="5" t="s">
        <v>112</v>
      </c>
      <c r="J8" s="5" t="s">
        <v>113</v>
      </c>
      <c r="K8" s="5" t="s">
        <v>114</v>
      </c>
      <c r="L8" s="6" t="s">
        <v>96</v>
      </c>
      <c r="M8" s="6" t="s">
        <v>113</v>
      </c>
      <c r="N8" s="5" t="s">
        <v>115</v>
      </c>
      <c r="O8" s="5" t="s">
        <v>66</v>
      </c>
    </row>
    <row r="9" customFormat="false" ht="46.25" hidden="false" customHeight="false" outlineLevel="0" collapsed="false">
      <c r="A9" s="5" t="s">
        <v>116</v>
      </c>
      <c r="B9" s="5" t="s">
        <v>86</v>
      </c>
      <c r="C9" s="5" t="s">
        <v>117</v>
      </c>
      <c r="D9" s="5" t="s">
        <v>88</v>
      </c>
      <c r="E9" s="5" t="s">
        <v>118</v>
      </c>
      <c r="F9" s="5" t="s">
        <v>119</v>
      </c>
      <c r="G9" s="5" t="s">
        <v>49</v>
      </c>
      <c r="H9" s="5" t="s">
        <v>120</v>
      </c>
      <c r="I9" s="5" t="s">
        <v>121</v>
      </c>
      <c r="J9" s="5" t="s">
        <v>122</v>
      </c>
      <c r="K9" s="5" t="s">
        <v>123</v>
      </c>
      <c r="L9" s="6" t="s">
        <v>96</v>
      </c>
      <c r="M9" s="6" t="s">
        <v>122</v>
      </c>
      <c r="N9" s="5" t="s">
        <v>124</v>
      </c>
      <c r="O9" s="5" t="s">
        <v>66</v>
      </c>
    </row>
    <row r="10" customFormat="false" ht="35.05" hidden="false" customHeight="false" outlineLevel="0" collapsed="false">
      <c r="A10" s="5" t="s">
        <v>125</v>
      </c>
      <c r="B10" s="5" t="s">
        <v>126</v>
      </c>
      <c r="C10" s="5" t="s">
        <v>127</v>
      </c>
      <c r="D10" s="5" t="s">
        <v>128</v>
      </c>
      <c r="E10" s="5" t="s">
        <v>129</v>
      </c>
      <c r="F10" s="5" t="s">
        <v>130</v>
      </c>
      <c r="G10" s="5" t="s">
        <v>49</v>
      </c>
      <c r="H10" s="5" t="s">
        <v>131</v>
      </c>
      <c r="I10" s="5" t="s">
        <v>132</v>
      </c>
      <c r="J10" s="5" t="s">
        <v>133</v>
      </c>
      <c r="K10" s="5" t="s">
        <v>134</v>
      </c>
      <c r="L10" s="6" t="s">
        <v>54</v>
      </c>
      <c r="M10" s="6" t="s">
        <v>132</v>
      </c>
      <c r="N10" s="5" t="s">
        <v>135</v>
      </c>
      <c r="O10" s="5" t="s">
        <v>56</v>
      </c>
    </row>
    <row r="11" customFormat="false" ht="35.05" hidden="false" customHeight="false" outlineLevel="0" collapsed="false">
      <c r="A11" s="5" t="s">
        <v>136</v>
      </c>
      <c r="B11" s="5" t="s">
        <v>126</v>
      </c>
      <c r="C11" s="5" t="s">
        <v>127</v>
      </c>
      <c r="D11" s="5" t="s">
        <v>128</v>
      </c>
      <c r="E11" s="5" t="s">
        <v>137</v>
      </c>
      <c r="F11" s="5" t="s">
        <v>130</v>
      </c>
      <c r="G11" s="5" t="s">
        <v>49</v>
      </c>
      <c r="H11" s="5" t="s">
        <v>138</v>
      </c>
      <c r="I11" s="5" t="s">
        <v>139</v>
      </c>
      <c r="J11" s="5" t="s">
        <v>140</v>
      </c>
      <c r="K11" s="5" t="s">
        <v>141</v>
      </c>
      <c r="L11" s="6" t="s">
        <v>54</v>
      </c>
      <c r="M11" s="6" t="s">
        <v>139</v>
      </c>
      <c r="N11" s="5" t="s">
        <v>142</v>
      </c>
      <c r="O11" s="5" t="s">
        <v>66</v>
      </c>
    </row>
    <row r="12" customFormat="false" ht="35.05" hidden="false" customHeight="false" outlineLevel="0" collapsed="false">
      <c r="A12" s="5" t="s">
        <v>143</v>
      </c>
      <c r="B12" s="5" t="s">
        <v>126</v>
      </c>
      <c r="C12" s="5" t="s">
        <v>144</v>
      </c>
      <c r="D12" s="5" t="s">
        <v>128</v>
      </c>
      <c r="E12" s="5" t="s">
        <v>145</v>
      </c>
      <c r="F12" s="5" t="s">
        <v>130</v>
      </c>
      <c r="G12" s="5" t="s">
        <v>49</v>
      </c>
      <c r="H12" s="5" t="s">
        <v>146</v>
      </c>
      <c r="I12" s="5" t="s">
        <v>147</v>
      </c>
      <c r="J12" s="5" t="s">
        <v>148</v>
      </c>
      <c r="K12" s="5" t="s">
        <v>149</v>
      </c>
      <c r="L12" s="6" t="s">
        <v>96</v>
      </c>
      <c r="M12" s="6" t="s">
        <v>148</v>
      </c>
      <c r="N12" s="5" t="s">
        <v>150</v>
      </c>
      <c r="O12" s="5" t="s">
        <v>66</v>
      </c>
    </row>
    <row r="13" customFormat="false" ht="35.05" hidden="false" customHeight="false" outlineLevel="0" collapsed="false">
      <c r="A13" s="5" t="s">
        <v>151</v>
      </c>
      <c r="B13" s="5" t="s">
        <v>126</v>
      </c>
      <c r="C13" s="5" t="s">
        <v>152</v>
      </c>
      <c r="D13" s="5" t="s">
        <v>128</v>
      </c>
      <c r="E13" s="5" t="s">
        <v>153</v>
      </c>
      <c r="F13" s="5" t="s">
        <v>130</v>
      </c>
      <c r="G13" s="5" t="s">
        <v>49</v>
      </c>
      <c r="H13" s="5" t="s">
        <v>154</v>
      </c>
      <c r="I13" s="5" t="s">
        <v>155</v>
      </c>
      <c r="J13" s="5" t="s">
        <v>156</v>
      </c>
      <c r="K13" s="5" t="s">
        <v>157</v>
      </c>
      <c r="L13" s="6" t="s">
        <v>54</v>
      </c>
      <c r="M13" s="6" t="s">
        <v>155</v>
      </c>
      <c r="N13" s="5" t="s">
        <v>158</v>
      </c>
      <c r="O13" s="5" t="s">
        <v>84</v>
      </c>
    </row>
    <row r="14" customFormat="false" ht="91" hidden="false" customHeight="false" outlineLevel="0" collapsed="false">
      <c r="A14" s="5" t="s">
        <v>159</v>
      </c>
      <c r="B14" s="5" t="s">
        <v>160</v>
      </c>
      <c r="C14" s="5" t="s">
        <v>161</v>
      </c>
      <c r="D14" s="5" t="s">
        <v>162</v>
      </c>
      <c r="E14" s="5" t="s">
        <v>163</v>
      </c>
      <c r="F14" s="5" t="s">
        <v>164</v>
      </c>
      <c r="G14" s="5" t="s">
        <v>49</v>
      </c>
      <c r="H14" s="5" t="s">
        <v>165</v>
      </c>
      <c r="I14" s="5" t="s">
        <v>166</v>
      </c>
      <c r="J14" s="5" t="s">
        <v>167</v>
      </c>
      <c r="K14" s="5" t="s">
        <v>168</v>
      </c>
      <c r="L14" s="6" t="s">
        <v>64</v>
      </c>
      <c r="M14" s="6" t="s">
        <v>165</v>
      </c>
      <c r="N14" s="5" t="s">
        <v>169</v>
      </c>
      <c r="O14" s="5" t="s">
        <v>84</v>
      </c>
    </row>
    <row r="15" customFormat="false" ht="91" hidden="false" customHeight="false" outlineLevel="0" collapsed="false">
      <c r="A15" s="5" t="s">
        <v>170</v>
      </c>
      <c r="B15" s="5" t="s">
        <v>160</v>
      </c>
      <c r="C15" s="5" t="s">
        <v>161</v>
      </c>
      <c r="D15" s="5" t="s">
        <v>162</v>
      </c>
      <c r="E15" s="5" t="s">
        <v>171</v>
      </c>
      <c r="F15" s="5" t="s">
        <v>164</v>
      </c>
      <c r="G15" s="5" t="s">
        <v>49</v>
      </c>
      <c r="H15" s="5" t="s">
        <v>165</v>
      </c>
      <c r="I15" s="5" t="s">
        <v>166</v>
      </c>
      <c r="J15" s="5" t="s">
        <v>167</v>
      </c>
      <c r="K15" s="5" t="s">
        <v>168</v>
      </c>
      <c r="L15" s="6" t="s">
        <v>74</v>
      </c>
      <c r="M15" s="6" t="s">
        <v>168</v>
      </c>
      <c r="N15" s="5" t="s">
        <v>172</v>
      </c>
      <c r="O15" s="5" t="s">
        <v>66</v>
      </c>
    </row>
    <row r="16" customFormat="false" ht="68.65" hidden="false" customHeight="false" outlineLevel="0" collapsed="false">
      <c r="A16" s="5" t="s">
        <v>173</v>
      </c>
      <c r="B16" s="5" t="s">
        <v>160</v>
      </c>
      <c r="C16" s="5" t="s">
        <v>174</v>
      </c>
      <c r="D16" s="5" t="s">
        <v>175</v>
      </c>
      <c r="E16" s="5" t="s">
        <v>176</v>
      </c>
      <c r="F16" s="5" t="s">
        <v>177</v>
      </c>
      <c r="G16" s="5" t="s">
        <v>49</v>
      </c>
      <c r="H16" s="5" t="s">
        <v>178</v>
      </c>
      <c r="I16" s="5" t="s">
        <v>179</v>
      </c>
      <c r="J16" s="5" t="s">
        <v>180</v>
      </c>
      <c r="K16" s="5"/>
      <c r="L16" s="6" t="s">
        <v>64</v>
      </c>
      <c r="M16" s="6" t="s">
        <v>178</v>
      </c>
      <c r="N16" s="5" t="s">
        <v>181</v>
      </c>
      <c r="O16" s="5" t="s">
        <v>56</v>
      </c>
    </row>
    <row r="17" customFormat="false" ht="68.65" hidden="false" customHeight="false" outlineLevel="0" collapsed="false">
      <c r="A17" s="5" t="s">
        <v>182</v>
      </c>
      <c r="B17" s="5" t="s">
        <v>160</v>
      </c>
      <c r="C17" s="5" t="s">
        <v>174</v>
      </c>
      <c r="D17" s="5" t="s">
        <v>175</v>
      </c>
      <c r="E17" s="5" t="s">
        <v>183</v>
      </c>
      <c r="F17" s="5" t="s">
        <v>177</v>
      </c>
      <c r="G17" s="5" t="s">
        <v>49</v>
      </c>
      <c r="H17" s="5" t="s">
        <v>178</v>
      </c>
      <c r="I17" s="5" t="s">
        <v>179</v>
      </c>
      <c r="J17" s="5" t="s">
        <v>180</v>
      </c>
      <c r="K17" s="5"/>
      <c r="L17" s="6" t="s">
        <v>96</v>
      </c>
      <c r="M17" s="6" t="s">
        <v>180</v>
      </c>
      <c r="N17" s="5" t="s">
        <v>184</v>
      </c>
      <c r="O17" s="5" t="s">
        <v>66</v>
      </c>
    </row>
    <row r="19" customFormat="false" ht="15" hidden="false" customHeight="false" outlineLevel="0" collapsed="false">
      <c r="A19" s="7" t="s">
        <v>185</v>
      </c>
    </row>
    <row r="20" customFormat="false" ht="15" hidden="false" customHeight="false" outlineLevel="0" collapsed="false">
      <c r="A20" s="8" t="s">
        <v>186</v>
      </c>
      <c r="B20" s="7" t="n">
        <f aca="false">COUNTA(A2:A17)</f>
        <v>16</v>
      </c>
    </row>
    <row r="21" customFormat="false" ht="15" hidden="false" customHeight="false" outlineLevel="0" collapsed="false">
      <c r="A21" s="8" t="s">
        <v>44</v>
      </c>
      <c r="B21" s="7" t="n">
        <f aca="false">COUNTIF(B2:B17,"Analyzing syllogisms")</f>
        <v>4</v>
      </c>
    </row>
    <row r="22" customFormat="false" ht="15" hidden="false" customHeight="false" outlineLevel="0" collapsed="false">
      <c r="A22" s="8" t="s">
        <v>86</v>
      </c>
      <c r="B22" s="7" t="n">
        <f aca="false">COUNTIF(B2:B17,"Making inferences")</f>
        <v>4</v>
      </c>
    </row>
    <row r="23" customFormat="false" ht="15" hidden="false" customHeight="false" outlineLevel="0" collapsed="false">
      <c r="A23" s="8" t="s">
        <v>126</v>
      </c>
      <c r="B23" s="7" t="n">
        <f aca="false">COUNTIF(B2:B17,"Recognizing assumptions")</f>
        <v>4</v>
      </c>
    </row>
    <row r="24" customFormat="false" ht="15" hidden="false" customHeight="false" outlineLevel="0" collapsed="false">
      <c r="A24" s="8" t="s">
        <v>160</v>
      </c>
      <c r="B24" s="7" t="n">
        <f aca="false">COUNTIF(B2:B17,"Weighing arguments")</f>
        <v>4</v>
      </c>
    </row>
    <row r="26" customFormat="false" ht="15" hidden="false" customHeight="false" outlineLevel="0" collapsed="false">
      <c r="A26" s="9" t="s">
        <v>187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80"/>
    <col collapsed="false" customWidth="true" hidden="false" outlineLevel="0" max="4" min="4" style="0" width="55"/>
  </cols>
  <sheetData>
    <row r="1" customFormat="false" ht="15" hidden="false" customHeight="false" outlineLevel="0" collapsed="false">
      <c r="A1" s="4" t="s">
        <v>28</v>
      </c>
      <c r="B1" s="4" t="s">
        <v>188</v>
      </c>
      <c r="C1" s="4" t="s">
        <v>189</v>
      </c>
      <c r="D1" s="4" t="s">
        <v>190</v>
      </c>
    </row>
    <row r="2" customFormat="false" ht="23.85" hidden="false" customHeight="false" outlineLevel="0" collapsed="false">
      <c r="A2" s="5" t="s">
        <v>43</v>
      </c>
      <c r="B2" s="5" t="s">
        <v>191</v>
      </c>
      <c r="C2" s="5" t="s">
        <v>192</v>
      </c>
      <c r="D2" s="5" t="s">
        <v>193</v>
      </c>
    </row>
    <row r="3" customFormat="false" ht="23.85" hidden="false" customHeight="false" outlineLevel="0" collapsed="false">
      <c r="A3" s="5" t="s">
        <v>57</v>
      </c>
      <c r="B3" s="5" t="s">
        <v>194</v>
      </c>
      <c r="C3" s="5" t="s">
        <v>195</v>
      </c>
      <c r="D3" s="5" t="s">
        <v>196</v>
      </c>
    </row>
    <row r="4" customFormat="false" ht="15" hidden="false" customHeight="false" outlineLevel="0" collapsed="false">
      <c r="A4" s="5" t="s">
        <v>67</v>
      </c>
      <c r="B4" s="5" t="s">
        <v>197</v>
      </c>
      <c r="C4" s="5" t="s">
        <v>198</v>
      </c>
      <c r="D4" s="5" t="s">
        <v>199</v>
      </c>
    </row>
    <row r="5" customFormat="false" ht="23.85" hidden="false" customHeight="false" outlineLevel="0" collapsed="false">
      <c r="A5" s="5" t="s">
        <v>76</v>
      </c>
      <c r="B5" s="5" t="s">
        <v>200</v>
      </c>
      <c r="C5" s="5" t="s">
        <v>201</v>
      </c>
      <c r="D5" s="5" t="s">
        <v>202</v>
      </c>
    </row>
    <row r="6" customFormat="false" ht="35.05" hidden="false" customHeight="false" outlineLevel="0" collapsed="false">
      <c r="A6" s="5" t="s">
        <v>85</v>
      </c>
      <c r="B6" s="5" t="s">
        <v>203</v>
      </c>
      <c r="C6" s="5" t="s">
        <v>204</v>
      </c>
      <c r="D6" s="5" t="s">
        <v>205</v>
      </c>
    </row>
    <row r="7" customFormat="false" ht="15" hidden="false" customHeight="false" outlineLevel="0" collapsed="false">
      <c r="A7" s="5" t="s">
        <v>98</v>
      </c>
      <c r="B7" s="5" t="s">
        <v>206</v>
      </c>
      <c r="C7" s="5" t="s">
        <v>207</v>
      </c>
      <c r="D7" s="5" t="s">
        <v>208</v>
      </c>
    </row>
    <row r="8" customFormat="false" ht="23.85" hidden="false" customHeight="false" outlineLevel="0" collapsed="false">
      <c r="A8" s="5" t="s">
        <v>107</v>
      </c>
      <c r="B8" s="5" t="s">
        <v>209</v>
      </c>
      <c r="C8" s="5" t="s">
        <v>210</v>
      </c>
      <c r="D8" s="5" t="s">
        <v>211</v>
      </c>
    </row>
    <row r="9" customFormat="false" ht="23.85" hidden="false" customHeight="false" outlineLevel="0" collapsed="false">
      <c r="A9" s="5" t="s">
        <v>116</v>
      </c>
      <c r="B9" s="5" t="s">
        <v>212</v>
      </c>
      <c r="C9" s="5" t="s">
        <v>213</v>
      </c>
      <c r="D9" s="5" t="s">
        <v>214</v>
      </c>
    </row>
    <row r="10" customFormat="false" ht="15" hidden="false" customHeight="false" outlineLevel="0" collapsed="false">
      <c r="A10" s="5" t="s">
        <v>125</v>
      </c>
      <c r="B10" s="5" t="s">
        <v>215</v>
      </c>
      <c r="C10" s="5" t="s">
        <v>216</v>
      </c>
      <c r="D10" s="5" t="s">
        <v>217</v>
      </c>
    </row>
    <row r="11" customFormat="false" ht="23.85" hidden="false" customHeight="false" outlineLevel="0" collapsed="false">
      <c r="A11" s="5" t="s">
        <v>136</v>
      </c>
      <c r="B11" s="5" t="s">
        <v>215</v>
      </c>
      <c r="C11" s="5" t="s">
        <v>218</v>
      </c>
      <c r="D11" s="5" t="s">
        <v>219</v>
      </c>
    </row>
    <row r="12" customFormat="false" ht="23.85" hidden="false" customHeight="false" outlineLevel="0" collapsed="false">
      <c r="A12" s="5" t="s">
        <v>143</v>
      </c>
      <c r="B12" s="5" t="s">
        <v>220</v>
      </c>
      <c r="C12" s="5" t="s">
        <v>221</v>
      </c>
      <c r="D12" s="5" t="s">
        <v>222</v>
      </c>
    </row>
    <row r="13" customFormat="false" ht="23.85" hidden="false" customHeight="false" outlineLevel="0" collapsed="false">
      <c r="A13" s="5" t="s">
        <v>151</v>
      </c>
      <c r="B13" s="5" t="s">
        <v>223</v>
      </c>
      <c r="C13" s="5" t="s">
        <v>224</v>
      </c>
      <c r="D13" s="5" t="s">
        <v>225</v>
      </c>
    </row>
    <row r="14" customFormat="false" ht="23.85" hidden="false" customHeight="false" outlineLevel="0" collapsed="false">
      <c r="A14" s="5" t="s">
        <v>159</v>
      </c>
      <c r="B14" s="5" t="s">
        <v>226</v>
      </c>
      <c r="C14" s="5" t="s">
        <v>227</v>
      </c>
      <c r="D14" s="5" t="s">
        <v>228</v>
      </c>
    </row>
    <row r="15" customFormat="false" ht="23.85" hidden="false" customHeight="false" outlineLevel="0" collapsed="false">
      <c r="A15" s="5" t="s">
        <v>170</v>
      </c>
      <c r="B15" s="5" t="s">
        <v>229</v>
      </c>
      <c r="C15" s="5" t="s">
        <v>230</v>
      </c>
      <c r="D15" s="5" t="s">
        <v>231</v>
      </c>
    </row>
    <row r="16" customFormat="false" ht="23.85" hidden="false" customHeight="false" outlineLevel="0" collapsed="false">
      <c r="A16" s="5" t="s">
        <v>173</v>
      </c>
      <c r="B16" s="5" t="s">
        <v>232</v>
      </c>
      <c r="C16" s="5" t="s">
        <v>233</v>
      </c>
      <c r="D16" s="5" t="s">
        <v>234</v>
      </c>
    </row>
    <row r="17" customFormat="false" ht="23.85" hidden="false" customHeight="false" outlineLevel="0" collapsed="false">
      <c r="A17" s="5" t="s">
        <v>182</v>
      </c>
      <c r="B17" s="5" t="s">
        <v>235</v>
      </c>
      <c r="C17" s="5" t="s">
        <v>236</v>
      </c>
      <c r="D17" s="5" t="s">
        <v>237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16"/>
    <col collapsed="false" customWidth="true" hidden="false" outlineLevel="0" max="4" min="4" style="0" width="60"/>
    <col collapsed="false" customWidth="true" hidden="false" outlineLevel="0" max="5" min="5" style="0" width="55"/>
  </cols>
  <sheetData>
    <row r="1" customFormat="false" ht="17.35" hidden="false" customHeight="false" outlineLevel="0" collapsed="false">
      <c r="A1" s="1" t="s">
        <v>238</v>
      </c>
    </row>
    <row r="3" customFormat="false" ht="15" hidden="false" customHeight="false" outlineLevel="0" collapsed="false">
      <c r="A3" s="7" t="s">
        <v>239</v>
      </c>
    </row>
    <row r="4" customFormat="false" ht="15" hidden="false" customHeight="true" outlineLevel="0" collapsed="false">
      <c r="A4" s="10" t="s">
        <v>240</v>
      </c>
      <c r="B4" s="10"/>
      <c r="C4" s="10"/>
      <c r="D4" s="10"/>
      <c r="E4" s="10"/>
    </row>
    <row r="5" customFormat="false" ht="15" hidden="false" customHeight="true" outlineLevel="0" collapsed="false">
      <c r="A5" s="10" t="s">
        <v>241</v>
      </c>
      <c r="B5" s="10"/>
      <c r="C5" s="10"/>
      <c r="D5" s="10"/>
      <c r="E5" s="10"/>
    </row>
    <row r="6" customFormat="false" ht="15" hidden="false" customHeight="true" outlineLevel="0" collapsed="false">
      <c r="A6" s="10" t="s">
        <v>242</v>
      </c>
      <c r="B6" s="10"/>
      <c r="C6" s="10"/>
      <c r="D6" s="10"/>
      <c r="E6" s="10"/>
    </row>
    <row r="7" customFormat="false" ht="15" hidden="false" customHeight="true" outlineLevel="0" collapsed="false">
      <c r="A7" s="10" t="s">
        <v>243</v>
      </c>
      <c r="B7" s="10"/>
      <c r="C7" s="10"/>
      <c r="D7" s="10"/>
      <c r="E7" s="10"/>
    </row>
    <row r="8" customFormat="false" ht="15" hidden="false" customHeight="true" outlineLevel="0" collapsed="false">
      <c r="A8" s="10" t="s">
        <v>244</v>
      </c>
      <c r="B8" s="10"/>
      <c r="C8" s="10"/>
      <c r="D8" s="10"/>
      <c r="E8" s="10"/>
    </row>
    <row r="9" customFormat="false" ht="23.85" hidden="false" customHeight="true" outlineLevel="0" collapsed="false">
      <c r="A9" s="10" t="s">
        <v>245</v>
      </c>
      <c r="B9" s="10"/>
      <c r="C9" s="10"/>
      <c r="D9" s="10"/>
      <c r="E9" s="10"/>
    </row>
    <row r="11" customFormat="false" ht="15" hidden="false" customHeight="false" outlineLevel="0" collapsed="false">
      <c r="A11" s="7" t="s">
        <v>246</v>
      </c>
    </row>
    <row r="12" customFormat="false" ht="15" hidden="false" customHeight="false" outlineLevel="0" collapsed="false">
      <c r="A12" s="8" t="s">
        <v>247</v>
      </c>
      <c r="B12" s="11" t="n">
        <v>12</v>
      </c>
      <c r="C12" s="9" t="s">
        <v>248</v>
      </c>
    </row>
    <row r="13" customFormat="false" ht="15" hidden="false" customHeight="false" outlineLevel="0" collapsed="false">
      <c r="A13" s="8" t="s">
        <v>186</v>
      </c>
      <c r="B13" s="7" t="n">
        <f aca="false">Questions!$B$20</f>
        <v>16</v>
      </c>
    </row>
    <row r="14" customFormat="false" ht="15" hidden="false" customHeight="false" outlineLevel="0" collapsed="false">
      <c r="A14" s="8" t="s">
        <v>249</v>
      </c>
      <c r="B14" s="12" t="n">
        <f aca="false">IF(B13=0,0,B12/B13)</f>
        <v>0.75</v>
      </c>
    </row>
    <row r="15" customFormat="false" ht="15" hidden="false" customHeight="false" outlineLevel="0" collapsed="false">
      <c r="A15" s="8" t="s">
        <v>250</v>
      </c>
      <c r="B15" s="7" t="str">
        <f aca="false">IF(B14&gt;=$A$20,$B$20,IF(B14&gt;=$A$21,$B$21,IF(B14&gt;=$A$22,$B$22,$B$23)))</f>
        <v>Strong</v>
      </c>
    </row>
    <row r="18" customFormat="false" ht="15" hidden="false" customHeight="false" outlineLevel="0" collapsed="false">
      <c r="A18" s="7" t="s">
        <v>251</v>
      </c>
    </row>
    <row r="19" customFormat="false" ht="15" hidden="false" customHeight="false" outlineLevel="0" collapsed="false">
      <c r="A19" s="4" t="s">
        <v>252</v>
      </c>
      <c r="B19" s="4" t="s">
        <v>250</v>
      </c>
      <c r="C19" s="4" t="s">
        <v>253</v>
      </c>
      <c r="D19" s="4" t="s">
        <v>254</v>
      </c>
      <c r="E19" s="4" t="s">
        <v>255</v>
      </c>
    </row>
    <row r="20" customFormat="false" ht="35.05" hidden="false" customHeight="false" outlineLevel="0" collapsed="false">
      <c r="A20" s="13" t="n">
        <v>0.875</v>
      </c>
      <c r="B20" s="5" t="s">
        <v>9</v>
      </c>
      <c r="C20" s="5" t="s">
        <v>256</v>
      </c>
      <c r="D20" s="5" t="s">
        <v>257</v>
      </c>
      <c r="E20" s="5" t="s">
        <v>258</v>
      </c>
    </row>
    <row r="21" customFormat="false" ht="23.85" hidden="false" customHeight="false" outlineLevel="0" collapsed="false">
      <c r="A21" s="13" t="n">
        <v>0.6875</v>
      </c>
      <c r="B21" s="5" t="s">
        <v>259</v>
      </c>
      <c r="C21" s="5" t="s">
        <v>260</v>
      </c>
      <c r="D21" s="5" t="s">
        <v>261</v>
      </c>
      <c r="E21" s="5" t="s">
        <v>262</v>
      </c>
    </row>
    <row r="22" customFormat="false" ht="23.85" hidden="false" customHeight="false" outlineLevel="0" collapsed="false">
      <c r="A22" s="13" t="n">
        <v>0.5</v>
      </c>
      <c r="B22" s="5" t="s">
        <v>263</v>
      </c>
      <c r="C22" s="5" t="s">
        <v>264</v>
      </c>
      <c r="D22" s="5" t="s">
        <v>265</v>
      </c>
      <c r="E22" s="5" t="s">
        <v>266</v>
      </c>
    </row>
    <row r="23" customFormat="false" ht="23.85" hidden="false" customHeight="false" outlineLevel="0" collapsed="false">
      <c r="A23" s="13" t="n">
        <v>0</v>
      </c>
      <c r="B23" s="5" t="s">
        <v>267</v>
      </c>
      <c r="C23" s="5" t="s">
        <v>268</v>
      </c>
      <c r="D23" s="5" t="s">
        <v>269</v>
      </c>
      <c r="E23" s="5" t="s">
        <v>270</v>
      </c>
    </row>
    <row r="26" customFormat="false" ht="15" hidden="false" customHeight="false" outlineLevel="0" collapsed="false">
      <c r="A26" s="7" t="s">
        <v>271</v>
      </c>
    </row>
    <row r="27" customFormat="false" ht="26.85" hidden="false" customHeight="false" outlineLevel="0" collapsed="false">
      <c r="A27" s="4" t="s">
        <v>29</v>
      </c>
      <c r="B27" s="4" t="s">
        <v>272</v>
      </c>
      <c r="C27" s="4" t="s">
        <v>273</v>
      </c>
      <c r="D27" s="4" t="s">
        <v>274</v>
      </c>
      <c r="E27" s="4" t="s">
        <v>275</v>
      </c>
    </row>
    <row r="28" customFormat="false" ht="57.45" hidden="false" customHeight="false" outlineLevel="0" collapsed="false">
      <c r="A28" s="5" t="s">
        <v>44</v>
      </c>
      <c r="B28" s="5" t="s">
        <v>276</v>
      </c>
      <c r="C28" s="5" t="s">
        <v>277</v>
      </c>
      <c r="D28" s="5" t="s">
        <v>278</v>
      </c>
      <c r="E28" s="5" t="s">
        <v>279</v>
      </c>
    </row>
    <row r="29" customFormat="false" ht="91" hidden="false" customHeight="false" outlineLevel="0" collapsed="false">
      <c r="A29" s="5" t="s">
        <v>86</v>
      </c>
      <c r="B29" s="5" t="s">
        <v>280</v>
      </c>
      <c r="C29" s="5" t="s">
        <v>281</v>
      </c>
      <c r="D29" s="5" t="s">
        <v>282</v>
      </c>
      <c r="E29" s="5" t="s">
        <v>283</v>
      </c>
    </row>
    <row r="30" customFormat="false" ht="79.85" hidden="false" customHeight="false" outlineLevel="0" collapsed="false">
      <c r="A30" s="5" t="s">
        <v>126</v>
      </c>
      <c r="B30" s="5" t="s">
        <v>284</v>
      </c>
      <c r="C30" s="5" t="s">
        <v>285</v>
      </c>
      <c r="D30" s="5" t="s">
        <v>286</v>
      </c>
      <c r="E30" s="5" t="s">
        <v>287</v>
      </c>
    </row>
    <row r="31" customFormat="false" ht="79.85" hidden="false" customHeight="false" outlineLevel="0" collapsed="false">
      <c r="A31" s="5" t="s">
        <v>160</v>
      </c>
      <c r="B31" s="5" t="s">
        <v>288</v>
      </c>
      <c r="C31" s="5" t="s">
        <v>289</v>
      </c>
      <c r="D31" s="5" t="s">
        <v>290</v>
      </c>
      <c r="E31" s="5" t="s">
        <v>291</v>
      </c>
    </row>
    <row r="33" customFormat="false" ht="15" hidden="false" customHeight="false" outlineLevel="0" collapsed="false">
      <c r="A33" s="9" t="s">
        <v>292</v>
      </c>
    </row>
  </sheetData>
  <mergeCells count="6">
    <mergeCell ref="A4:E4"/>
    <mergeCell ref="A5:E5"/>
    <mergeCell ref="A6:E6"/>
    <mergeCell ref="A7:E7"/>
    <mergeCell ref="A8:E8"/>
    <mergeCell ref="A9:E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3" min="2" style="0" width="30"/>
    <col collapsed="false" customWidth="true" hidden="false" outlineLevel="0" max="4" min="4" style="0" width="62"/>
    <col collapsed="false" customWidth="true" hidden="false" outlineLevel="0" max="5" min="5" style="0" width="50"/>
  </cols>
  <sheetData>
    <row r="1" customFormat="false" ht="15" hidden="false" customHeight="false" outlineLevel="0" collapsed="false">
      <c r="A1" s="4" t="s">
        <v>293</v>
      </c>
      <c r="B1" s="4" t="s">
        <v>294</v>
      </c>
      <c r="C1" s="4" t="s">
        <v>295</v>
      </c>
      <c r="D1" s="4" t="s">
        <v>296</v>
      </c>
      <c r="E1" s="4" t="s">
        <v>297</v>
      </c>
    </row>
    <row r="2" customFormat="false" ht="23.85" hidden="false" customHeight="false" outlineLevel="0" collapsed="false">
      <c r="A2" s="5" t="s">
        <v>298</v>
      </c>
      <c r="B2" s="5" t="s">
        <v>299</v>
      </c>
      <c r="C2" s="5" t="s">
        <v>300</v>
      </c>
      <c r="D2" s="5" t="s">
        <v>301</v>
      </c>
      <c r="E2" s="5" t="s">
        <v>302</v>
      </c>
    </row>
    <row r="3" customFormat="false" ht="15" hidden="false" customHeight="false" outlineLevel="0" collapsed="false">
      <c r="A3" s="5" t="s">
        <v>303</v>
      </c>
      <c r="B3" s="5" t="s">
        <v>304</v>
      </c>
      <c r="C3" s="5" t="s">
        <v>300</v>
      </c>
      <c r="D3" s="5" t="s">
        <v>305</v>
      </c>
      <c r="E3" s="5" t="s">
        <v>306</v>
      </c>
    </row>
    <row r="4" customFormat="false" ht="23.85" hidden="false" customHeight="false" outlineLevel="0" collapsed="false">
      <c r="A4" s="5" t="s">
        <v>307</v>
      </c>
      <c r="B4" s="5" t="s">
        <v>299</v>
      </c>
      <c r="C4" s="5" t="s">
        <v>300</v>
      </c>
      <c r="D4" s="5" t="s">
        <v>308</v>
      </c>
      <c r="E4" s="5" t="s">
        <v>309</v>
      </c>
    </row>
    <row r="5" customFormat="false" ht="23.85" hidden="false" customHeight="false" outlineLevel="0" collapsed="false">
      <c r="A5" s="5" t="s">
        <v>310</v>
      </c>
      <c r="B5" s="5" t="s">
        <v>311</v>
      </c>
      <c r="C5" s="5" t="s">
        <v>312</v>
      </c>
      <c r="D5" s="5" t="s">
        <v>313</v>
      </c>
      <c r="E5" s="5" t="s">
        <v>314</v>
      </c>
    </row>
    <row r="6" customFormat="false" ht="23.85" hidden="false" customHeight="false" outlineLevel="0" collapsed="false">
      <c r="A6" s="5" t="s">
        <v>315</v>
      </c>
      <c r="B6" s="5" t="s">
        <v>316</v>
      </c>
      <c r="C6" s="5" t="s">
        <v>317</v>
      </c>
      <c r="D6" s="5" t="s">
        <v>318</v>
      </c>
      <c r="E6" s="5" t="s">
        <v>319</v>
      </c>
    </row>
    <row r="7" customFormat="false" ht="23.85" hidden="false" customHeight="false" outlineLevel="0" collapsed="false">
      <c r="A7" s="5" t="s">
        <v>320</v>
      </c>
      <c r="B7" s="5" t="s">
        <v>321</v>
      </c>
      <c r="C7" s="5" t="s">
        <v>322</v>
      </c>
      <c r="D7" s="5" t="s">
        <v>323</v>
      </c>
      <c r="E7" s="5" t="s">
        <v>324</v>
      </c>
    </row>
    <row r="8" customFormat="false" ht="23.85" hidden="false" customHeight="false" outlineLevel="0" collapsed="false">
      <c r="A8" s="5" t="s">
        <v>325</v>
      </c>
      <c r="B8" s="5" t="s">
        <v>326</v>
      </c>
      <c r="C8" s="5" t="s">
        <v>327</v>
      </c>
      <c r="D8" s="5" t="s">
        <v>328</v>
      </c>
      <c r="E8" s="5" t="s">
        <v>329</v>
      </c>
    </row>
    <row r="9" customFormat="false" ht="15" hidden="false" customHeight="false" outlineLevel="0" collapsed="false">
      <c r="A9" s="5" t="s">
        <v>330</v>
      </c>
      <c r="B9" s="5" t="s">
        <v>331</v>
      </c>
      <c r="C9" s="5" t="s">
        <v>332</v>
      </c>
      <c r="D9" s="5" t="s">
        <v>333</v>
      </c>
      <c r="E9" s="5" t="s">
        <v>334</v>
      </c>
    </row>
    <row r="10" customFormat="false" ht="23.85" hidden="false" customHeight="false" outlineLevel="0" collapsed="false">
      <c r="A10" s="5" t="s">
        <v>335</v>
      </c>
      <c r="B10" s="5" t="s">
        <v>336</v>
      </c>
      <c r="C10" s="5" t="s">
        <v>332</v>
      </c>
      <c r="D10" s="5" t="s">
        <v>337</v>
      </c>
      <c r="E10" s="5" t="s">
        <v>338</v>
      </c>
    </row>
    <row r="11" customFormat="false" ht="15" hidden="false" customHeight="false" outlineLevel="0" collapsed="false">
      <c r="A11" s="5" t="s">
        <v>339</v>
      </c>
      <c r="B11" s="5" t="s">
        <v>340</v>
      </c>
      <c r="C11" s="5" t="s">
        <v>341</v>
      </c>
      <c r="D11" s="5" t="s">
        <v>342</v>
      </c>
      <c r="E11" s="5" t="s">
        <v>343</v>
      </c>
    </row>
    <row r="13" customFormat="false" ht="15" hidden="false" customHeight="false" outlineLevel="0" collapsed="false">
      <c r="A13" s="9" t="s">
        <v>344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2026-09-15T06:08:35Z</dcterms:created>
  <dc:creator>openpyxl</dc:creator>
  <dc:description/>
  <dc:language>en-US</dc:language>
  <cp:lastModifiedBy/>
  <dcterms:modified xsi:type="dcterms:W3CDTF">2026-09-15T06:08:35Z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
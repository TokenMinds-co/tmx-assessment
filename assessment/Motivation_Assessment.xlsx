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Questionnaire" sheetId="2" state="visible" r:id="rId4"/>
    <sheet name="Alignment calculator" sheetId="3" state="visible" r:id="rId5"/>
    <sheet name="Rubric" sheetId="4" state="visible" r:id="rId6"/>
    <sheet name="Open data 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<sst xmlns="http://schemas.openxmlformats.org/spreadsheetml/2006/main" count="484" uniqueCount="286">
  <si>
    <t xml:space="preserve">Motivation (Job Preferences) – Alignment Questionnaire</t>
  </si>
  <si>
    <t xml:space="preserve">Test name</t>
  </si>
  <si>
    <t xml:space="preserve">Motivation</t>
  </si>
  <si>
    <t xml:space="preserve">Duration</t>
  </si>
  <si>
    <t xml:space="preserve">15 minutes (candidate); employer profile takes ~10 minutes once per role</t>
  </si>
  <si>
    <t xml:space="preserve">Number of questions</t>
  </si>
  <si>
    <t xml:space="preserve">Question format</t>
  </si>
  <si>
    <t xml:space="preserve">Questionnaire – 18 five-point rating items + 2 three-option choice items. No right or wrong answers; scored by alignment between employer profile and candidate answers.</t>
  </si>
  <si>
    <t xml:space="preserve">Level</t>
  </si>
  <si>
    <t xml:space="preserve">Entry level (suitable for all roles and seniorities)</t>
  </si>
  <si>
    <t xml:space="preserve">Language of instructions</t>
  </si>
  <si>
    <t xml:space="preserve">English (fully localisable)</t>
  </si>
  <si>
    <t xml:space="preserve">Overview</t>
  </si>
  <si>
    <t xml:space="preserve">Rooted in Hackman &amp; Oldham's Job Characteristics Model, this job preferences test measures the extent to which candidates' expectations align with your job offer, based on a customised survey that you and the candidate both complete.</t>
  </si>
  <si>
    <t xml:space="preserve">Theoretical basis</t>
  </si>
  <si>
    <t xml:space="preserve">Job Characteristics Model (Hackman &amp; Oldham, 1975/1976): five core job characteristics – skill variety, task identity, task significance, autonomy and feedback – produce three psychological states (experienced meaningfulness, experienced responsibility, knowledge of results) that drive intrinsic motivation. Moderators – growth need strength, knowledge &amp; skill, and context satisfaction – strengthen or weaken the link. This questionnaire profiles the five core characteristics, key moderators, extrinsic/contextual factors (which the model treats as 'context satisfaction'), and concrete work activities.</t>
  </si>
  <si>
    <t xml:space="preserve">Skills covered / dimensions</t>
  </si>
  <si>
    <t xml:space="preserve">1. Core job characteristics (Q1–Q5) – skill variety, task identity, task significance, autonomy, feedback from the work itself
2. Motivation moderators (Q6–Q8) – growth need strength, feedback from people, working with others
3. Extrinsic &amp; workplace factors (Q9–Q14) – pay, job security, schedule flexibility, location/remote, advancement, recognition
4. Work activities (Q15–Q20) – analytical, customer-facing, creative, routine/structured work, pace, team setting</t>
  </si>
  <si>
    <t xml:space="preserve">Relevant for</t>
  </si>
  <si>
    <t xml:space="preserve">All job roles. Helps determine how well a candidate's preferences align with the job, its benefits and key elements of the workplace. A strong match is associated with better performance and longer retention.</t>
  </si>
  <si>
    <t xml:space="preserve">Description</t>
  </si>
  <si>
    <t xml:space="preserve">While skill level is important for success, job preferences and motivation can play an even bigger role. Skills can be taught, but preferences and motivators are relatively stable over time, so it is crucial to evaluate not only whether candidates have the right skills but whether what motivates them aligns with what the role offers.
Oldham and Hackman proposed that the job itself – rather than an employee's personality – has the greatest influence on motivation. Employees are most motivated when they experience their work as meaningful, feel responsible for its outcomes, and know the results of their work. A set of moderators can increase or decrease an individual's motivation.
This questionnaire profiles the key job characteristics, moderators, extrinsic factors and job activities known to affect motivation. The employer answers a role-profile version; candidates answer a parallel version about what they seek in a job, including the activities they most enjoy. Candidate answers are mapped against the role profile to produce an alignment score per dimension and overall.</t>
  </si>
  <si>
    <t xml:space="preserve">How it works</t>
  </si>
  <si>
    <t xml:space="preserve">1. Hiring manager completes the 'Employer version' column for the role (once).
2. Each candidate completes the 'Candidate version' (same 20 items, preference wording).
3. Enter both sets of answers in 'Alignment calculator' → per-item, per-dimension and overall alignment.
4. Use 'Rubric' to interpret the overall band and any large gaps.</t>
  </si>
  <si>
    <t xml:space="preserve">Scoring summary</t>
  </si>
  <si>
    <t xml:space="preserve">Rating items: alignment = 1 − |employer − candidate| ÷ 4 (identical = 100%, opposite ends = 0%). Choice items: same option = 100%, adjacent = 50%, otherwise 0%. Dimension score = mean of its items. Overall = weighted mean of dimensions (weights editable in the calculator).</t>
  </si>
  <si>
    <t xml:space="preserve">Timing guidance</t>
  </si>
  <si>
    <t xml:space="preserve">15 min ÷ 20 items = 45 s per item; typical completion is 6–8 minutes. Untimed is acceptable for a preference questionnaire.</t>
  </si>
  <si>
    <t xml:space="preserve">ID</t>
  </si>
  <si>
    <t xml:space="preserve">Dimension</t>
  </si>
  <si>
    <t xml:space="preserve">Facet (JCM construct)</t>
  </si>
  <si>
    <t xml:space="preserve">Item type</t>
  </si>
  <si>
    <t xml:space="preserve">Employer version (role profile)</t>
  </si>
  <si>
    <t xml:space="preserve">Employer scale</t>
  </si>
  <si>
    <t xml:space="preserve">Candidate version (preferences)</t>
  </si>
  <si>
    <t xml:space="preserve">Candidate scale</t>
  </si>
  <si>
    <t xml:space="preserve">Attachment</t>
  </si>
  <si>
    <t xml:space="preserve">Scoring rule</t>
  </si>
  <si>
    <t xml:space="preserve">Why it matters / interpretation note</t>
  </si>
  <si>
    <t xml:space="preserve">Q1</t>
  </si>
  <si>
    <t xml:space="preserve">Core job characteristics</t>
  </si>
  <si>
    <t xml:space="preserve">Skill variety</t>
  </si>
  <si>
    <t xml:space="preserve">Rating 1–5</t>
  </si>
  <si>
    <t xml:space="preserve">To what extent does this role require a variety of different skills and activities in a typical week?</t>
  </si>
  <si>
    <t xml:space="preserve">1 = Not at all … 5 = To a very large extent</t>
  </si>
  <si>
    <t xml:space="preserve">How important is it to you that a job lets you use many different skills rather than doing the same kind of task?</t>
  </si>
  <si>
    <t xml:space="preserve">1 = Not important … 5 = Extremely important</t>
  </si>
  <si>
    <t xml:space="preserve">None</t>
  </si>
  <si>
    <t xml:space="preserve">1 − |E−C|/4</t>
  </si>
  <si>
    <t xml:space="preserve">Variety feeds 'experienced meaningfulness'. Candidate wanting far more variety than the role offers is a boredom/attrition risk; wanting less can mean overwhelm.</t>
  </si>
  <si>
    <t xml:space="preserve">Q2</t>
  </si>
  <si>
    <t xml:space="preserve">Task identity</t>
  </si>
  <si>
    <t xml:space="preserve">To what extent does the role involve completing whole pieces of work from start to finish, rather than contributing one step to a larger process?</t>
  </si>
  <si>
    <t xml:space="preserve">How important is it to you to see a piece of work through from beginning to end, rather than handling one part of it?</t>
  </si>
  <si>
    <t xml:space="preserve">Task identity → meaningfulness. Assembly-line or hand-off-heavy roles score low here; flag candidates who rate 5.</t>
  </si>
  <si>
    <t xml:space="preserve">Q3</t>
  </si>
  <si>
    <t xml:space="preserve">Task significance</t>
  </si>
  <si>
    <t xml:space="preserve">To what extent does the work in this role have a visible impact on customers, colleagues or the wider community?</t>
  </si>
  <si>
    <t xml:space="preserve">How important is it to you that your work clearly affects other people – customers, colleagues or society?</t>
  </si>
  <si>
    <t xml:space="preserve">Significance → meaningfulness. Mismatch is most damaging when the candidate rates 5 and the role rates ≤2.</t>
  </si>
  <si>
    <t xml:space="preserve">Q4</t>
  </si>
  <si>
    <t xml:space="preserve">Autonomy</t>
  </si>
  <si>
    <t xml:space="preserve">How much freedom does the person in this role have to decide how, when and in what order to do their work?</t>
  </si>
  <si>
    <t xml:space="preserve">How important is it to you to decide for yourself how, when and in what order you do your work?</t>
  </si>
  <si>
    <t xml:space="preserve">Autonomy → experienced responsibility. Both directions matter: high-autonomy roles can unsettle candidates who prefer clear direction.</t>
  </si>
  <si>
    <t xml:space="preserve">Q5</t>
  </si>
  <si>
    <t xml:space="preserve">Feedback from the job</t>
  </si>
  <si>
    <t xml:space="preserve">To what extent does doing the work itself provide clear information about how well it is going (e.g. targets, dashboards, visible results)?</t>
  </si>
  <si>
    <t xml:space="preserve">How important is it to you that you can see for yourself, from the work itself, how well you are doing?</t>
  </si>
  <si>
    <t xml:space="preserve">Feedback → knowledge of results. Roles with long or invisible outcomes (research, policy) score low; pair with Q7.</t>
  </si>
  <si>
    <t xml:space="preserve">Q6</t>
  </si>
  <si>
    <t xml:space="preserve">Motivation moderators</t>
  </si>
  <si>
    <t xml:space="preserve">Growth need strength</t>
  </si>
  <si>
    <t xml:space="preserve">To what extent does this role offer opportunities to learn new things and take on stretching challenges?</t>
  </si>
  <si>
    <t xml:space="preserve">How important is it to you that a job keeps stretching you with new things to learn and challenging problems?</t>
  </si>
  <si>
    <t xml:space="preserve">The strongest JCM moderator. High-GNS candidates respond well to enriched jobs and poorly to static ones; the reverse is also true.</t>
  </si>
  <si>
    <t xml:space="preserve">Q7</t>
  </si>
  <si>
    <t xml:space="preserve">Feedback from people</t>
  </si>
  <si>
    <t xml:space="preserve">How often does the person in this role receive direct feedback on their performance from a manager, colleagues or customers?</t>
  </si>
  <si>
    <t xml:space="preserve">1 = Rarely (annual review only) … 5 = Continuously (daily/weekly)</t>
  </si>
  <si>
    <t xml:space="preserve">How important is it to you to receive regular, direct feedback on your performance from your manager or colleagues?</t>
  </si>
  <si>
    <t xml:space="preserve">Distinguishes feedback from agents (people) from feedback from the job (Q5). A candidate rating 5 in a hands-off management culture is a common early-exit driver.</t>
  </si>
  <si>
    <t xml:space="preserve">Q8</t>
  </si>
  <si>
    <t xml:space="preserve">Dealing with others</t>
  </si>
  <si>
    <t xml:space="preserve">To what extent does the role require close, ongoing interaction with other people (colleagues, clients, partners) to get the work done?</t>
  </si>
  <si>
    <t xml:space="preserve">How important is it to you that your work involves a lot of interaction with other people?</t>
  </si>
  <si>
    <t xml:space="preserve">JCM supplementary dimension. Large gap in either direction predicts dissatisfaction (isolation vs. interruption).</t>
  </si>
  <si>
    <t xml:space="preserve">Q9</t>
  </si>
  <si>
    <t xml:space="preserve">Extrinsic &amp; workplace factors</t>
  </si>
  <si>
    <t xml:space="preserve">Pay &amp; financial rewards</t>
  </si>
  <si>
    <t xml:space="preserve">Relative to similar roles in your market, how competitive is the total compensation (salary, bonus, equity) for this role?</t>
  </si>
  <si>
    <t xml:space="preserve">1 = Below market … 3 = At market … 5 = Well above market</t>
  </si>
  <si>
    <t xml:space="preserve">How important is pay (relative to other factors) when you decide whether to accept a job?</t>
  </si>
  <si>
    <t xml:space="preserve">Extrinsic / context satisfaction. Use to flag candidates likely to leave for a small raise when pay is a top-3 driver and the offer is at or below market.</t>
  </si>
  <si>
    <t xml:space="preserve">Q10</t>
  </si>
  <si>
    <t xml:space="preserve">Job security &amp; stability</t>
  </si>
  <si>
    <t xml:space="preserve">How stable and predictable is this role (permanent contract, established team, steady funding)?</t>
  </si>
  <si>
    <t xml:space="preserve">1 = Short-term / uncertain … 5 = Very stable</t>
  </si>
  <si>
    <t xml:space="preserve">How important is long-term stability and predictability in a job to you?</t>
  </si>
  <si>
    <t xml:space="preserve">Especially relevant for fixed-term, start-up or project-funded roles.</t>
  </si>
  <si>
    <t xml:space="preserve">Q11</t>
  </si>
  <si>
    <t xml:space="preserve">Schedule flexibility</t>
  </si>
  <si>
    <t xml:space="preserve">How much flexibility does the role offer over working hours (start/finish times, compressed weeks, part-time options)?</t>
  </si>
  <si>
    <t xml:space="preserve">1 = Fixed hours/shifts … 5 = Fully flexible</t>
  </si>
  <si>
    <t xml:space="preserve">How important is it to you to have flexibility over your working hours?</t>
  </si>
  <si>
    <t xml:space="preserve">Shift-based and customer-hours roles should answer honestly here; this is one of the most common causes of early attrition.</t>
  </si>
  <si>
    <t xml:space="preserve">Q12</t>
  </si>
  <si>
    <t xml:space="preserve">Location / remote work</t>
  </si>
  <si>
    <t xml:space="preserve">How much of the work can be done remotely?</t>
  </si>
  <si>
    <t xml:space="preserve">1 = Fully on-site … 3 = Hybrid … 5 = Fully remote</t>
  </si>
  <si>
    <t xml:space="preserve">How important is it to you to be able to work remotely?</t>
  </si>
  <si>
    <t xml:space="preserve">Direction matters: a candidate wanting remote (5) for an on-site role (1) is a hard mismatch; the reverse is usually manageable.</t>
  </si>
  <si>
    <t xml:space="preserve">Q13</t>
  </si>
  <si>
    <t xml:space="preserve">Career advancement</t>
  </si>
  <si>
    <t xml:space="preserve">How clear and realistic is the path to promotion or expanded responsibility from this role within 2–3 years?</t>
  </si>
  <si>
    <t xml:space="preserve">1 = No defined path … 5 = Clear, well-used path</t>
  </si>
  <si>
    <t xml:space="preserve">How important is it to you that a job offers a clear route to promotion or greater responsibility?</t>
  </si>
  <si>
    <t xml:space="preserve">Flag candidates rating 5 for flat-structure or capped roles; set expectations in the interview rather than lose them at month 9.</t>
  </si>
  <si>
    <t xml:space="preserve">Q14</t>
  </si>
  <si>
    <t xml:space="preserve">Recognition</t>
  </si>
  <si>
    <t xml:space="preserve">To what extent does the organisation formally and informally recognise good work (awards, public credit, shout-outs, manager praise)?</t>
  </si>
  <si>
    <t xml:space="preserve">How important is it to you that good work is noticed and recognised?</t>
  </si>
  <si>
    <t xml:space="preserve">Maps to O*NET work value 'Recognition'. Low-recognition cultures should not over-promise here.</t>
  </si>
  <si>
    <t xml:space="preserve">Q15</t>
  </si>
  <si>
    <t xml:space="preserve">Work activities</t>
  </si>
  <si>
    <t xml:space="preserve">Analytical / detail work</t>
  </si>
  <si>
    <t xml:space="preserve">How much of the role involves working with data, numbers, documents or detailed checking?</t>
  </si>
  <si>
    <t xml:space="preserve">1 = Never part of the role … 5 = A major part of the role</t>
  </si>
  <si>
    <t xml:space="preserve">How much would you enjoy work that involves analysing data, numbers or documents in detail?</t>
  </si>
  <si>
    <t xml:space="preserve">1 = Would strongly dislike … 5 = Would greatly enjoy</t>
  </si>
  <si>
    <t xml:space="preserve">Activity-level fit. Enjoyment items predict sustained effort better than 'can you do it' items.</t>
  </si>
  <si>
    <t xml:space="preserve">Q16</t>
  </si>
  <si>
    <t xml:space="preserve">Customer-facing work</t>
  </si>
  <si>
    <t xml:space="preserve">How much of the role involves direct contact with customers or external clients (calls, meetings, support)?</t>
  </si>
  <si>
    <t xml:space="preserve">How much would you enjoy work that involves regular direct contact with customers or clients?</t>
  </si>
  <si>
    <t xml:space="preserve">Distinct from Q8 (interaction in general) – this is about external, sometimes difficult, contact.</t>
  </si>
  <si>
    <t xml:space="preserve">Q17</t>
  </si>
  <si>
    <t xml:space="preserve">Creative / problem-solving work</t>
  </si>
  <si>
    <t xml:space="preserve">How much of the role involves generating ideas, designing solutions or solving problems without a set procedure?</t>
  </si>
  <si>
    <t xml:space="preserve">How much would you enjoy work where you have to come up with ideas or solve problems that have no set procedure?</t>
  </si>
  <si>
    <t xml:space="preserve">High score here plus low Q18 = innovator profile; the reverse = operator profile. Neither is 'better' – match the role.</t>
  </si>
  <si>
    <t xml:space="preserve">Q18</t>
  </si>
  <si>
    <t xml:space="preserve">Routine / structured work</t>
  </si>
  <si>
    <t xml:space="preserve">How much of the role involves following established procedures and repeating well-defined tasks accurately?</t>
  </si>
  <si>
    <t xml:space="preserve">How much would you enjoy work that follows clear procedures and repeats well-defined tasks?</t>
  </si>
  <si>
    <t xml:space="preserve">Honest employer ratings matter most here – roles are often advertised as more varied than they are.</t>
  </si>
  <si>
    <t xml:space="preserve">Q19</t>
  </si>
  <si>
    <t xml:space="preserve">Pace of work</t>
  </si>
  <si>
    <t xml:space="preserve">Choice (3 options)</t>
  </si>
  <si>
    <t xml:space="preserve">Which best describes the pace of this role?</t>
  </si>
  <si>
    <t xml:space="preserve">1 = Steady and predictable | 2 = Mixed – busy periods and calm periods | 3 = Fast-changing, frequent urgent work</t>
  </si>
  <si>
    <t xml:space="preserve">Which pace of work suits you best?</t>
  </si>
  <si>
    <t xml:space="preserve">1 = Steady and predictable | 2 = A mix of busy and calm periods | 3 = Fast-changing, with frequent urgent work</t>
  </si>
  <si>
    <t xml:space="preserve">Same = 1; adjacent = 0.5; else 0</t>
  </si>
  <si>
    <t xml:space="preserve">Pace mismatch is a frequent 'the job wasn't what I expected' reason in exit interviews.</t>
  </si>
  <si>
    <t xml:space="preserve">Q20</t>
  </si>
  <si>
    <t xml:space="preserve">Team setting</t>
  </si>
  <si>
    <t xml:space="preserve">How is the work in this role organised?</t>
  </si>
  <si>
    <t xml:space="preserve">1 = Mostly independent, own tasks | 2 = A mix of solo and team work | 3 = Mostly collaborative, shared deliverables</t>
  </si>
  <si>
    <t xml:space="preserve">How do you prefer to work?</t>
  </si>
  <si>
    <t xml:space="preserve">1 = Mostly on my own | 2 = A mix of solo and team work | 3 = Mostly in close collaboration with others</t>
  </si>
  <si>
    <t xml:space="preserve">Cross-check with Q8. Consistent answers across Q8/Q16/Q20 indicate reliable self-report.</t>
  </si>
  <si>
    <t xml:space="preserve">Summary</t>
  </si>
  <si>
    <t xml:space="preserve">Total items</t>
  </si>
  <si>
    <t xml:space="preserve">Delivery notes: present candidate items in random order within dimension; do not show the employer version or dimension names to candidates. Because there are no correct answers, tell candidates so explicitly – it reduces socially desirable answering. E = employer rating, C = candidate rating.</t>
  </si>
  <si>
    <t xml:space="preserve">Alignment calculator – enter the employer's role profile in column D and each candidate's answers in column E</t>
  </si>
  <si>
    <t xml:space="preserve">Yellow cells are inputs (1–5 for Q1–Q18, 1–3 for Q19–Q20). Example values are pre-filled; replace them. Everything else is a formula.</t>
  </si>
  <si>
    <t xml:space="preserve">Facet</t>
  </si>
  <si>
    <t xml:space="preserve">Employer (E)</t>
  </si>
  <si>
    <t xml:space="preserve">Candidate (C)</t>
  </si>
  <si>
    <t xml:space="preserve">Gap (C − E)</t>
  </si>
  <si>
    <t xml:space="preserve">Item alignment</t>
  </si>
  <si>
    <t xml:space="preserve">Flag (gap ≥ 2)</t>
  </si>
  <si>
    <t xml:space="preserve">Choice 1–3</t>
  </si>
  <si>
    <t xml:space="preserve">Dimension scores</t>
  </si>
  <si>
    <t xml:space="preserve">Items</t>
  </si>
  <si>
    <t xml:space="preserve">Mean alignment</t>
  </si>
  <si>
    <t xml:space="preserve">Weight</t>
  </si>
  <si>
    <t xml:space="preserve">Weighted contribution</t>
  </si>
  <si>
    <t xml:space="preserve">Flags in dimension</t>
  </si>
  <si>
    <t xml:space="preserve">Weights total (must be 100%)</t>
  </si>
  <si>
    <t xml:space="preserve">Overall alignment</t>
  </si>
  <si>
    <t xml:space="preserve">Band</t>
  </si>
  <si>
    <t xml:space="preserve">Unweighted mean (all 20 items)</t>
  </si>
  <si>
    <t xml:space="preserve">Items flagged (gap ≥ 2)</t>
  </si>
  <si>
    <t xml:space="preserve">Example data: employer profile for an on-site customer-support role; candidate who values flexibility and remote work more than the role offers. Note how the overall score can look acceptable while two hard-constraint items (Q11, Q12) are flagged – always read the flags, not just the total.</t>
  </si>
  <si>
    <t xml:space="preserve">Interpretation rubric – Motivation / Job Preferences</t>
  </si>
  <si>
    <t xml:space="preserve">Scoring rules</t>
  </si>
  <si>
    <t xml:space="preserve">1. There are no correct answers. Alignment is scored per item as 1 − |E − C| ÷ 4 for rating items and 1 / 0.5 / 0 (same / adjacent / distant) for the two choice items.</t>
  </si>
  <si>
    <t xml:space="preserve">2. Dimension score = mean of its items. Overall = weighted mean of dimension scores; default weights 35% core characteristics, 15% moderators, 30% extrinsic factors, 20% activities (editable in the calculator, D29:D32).</t>
  </si>
  <si>
    <t xml:space="preserve">3. Read direction, not just size: 'Candidate wants more' gaps (C − E ≥ 2) predict dissatisfaction and attrition; 'Role offers more' gaps are usually lower risk except for autonomy (Q4), pace (Q19) and customer contact (Q16), where over-provision can overwhelm.</t>
  </si>
  <si>
    <t xml:space="preserve">4. Treat Q11 (flexibility) and Q12 (remote) as hard constraints: a flagged gap on either should be discussed before an offer regardless of the overall score.</t>
  </si>
  <si>
    <t xml:space="preserve">5. Use this test alongside skills tests, never instead of them. It measures fit and likely motivation, not ability.</t>
  </si>
  <si>
    <t xml:space="preserve">6. Do not use single-item answers to screen out candidates; look at dimension patterns and confirm with one interview question per flagged item ("Tell me about a time when… ").</t>
  </si>
  <si>
    <t xml:space="preserve">Live result from 'Alignment calculator'</t>
  </si>
  <si>
    <t xml:space="preserve">Min score</t>
  </si>
  <si>
    <t xml:space="preserve">Interpretation</t>
  </si>
  <si>
    <t xml:space="preserve">Recommended action</t>
  </si>
  <si>
    <t xml:space="preserve">Typical retention signal</t>
  </si>
  <si>
    <t xml:space="preserve">Strong fit</t>
  </si>
  <si>
    <t xml:space="preserve">What the role offers closely matches what the candidate is looking for across intrinsic and extrinsic factors.</t>
  </si>
  <si>
    <t xml:space="preserve">Progress. Confirm any single flagged item in interview; otherwise no further motivation screening needed.</t>
  </si>
  <si>
    <t xml:space="preserve">Lowest early-attrition risk; candidate likely to report the work as meaningful.</t>
  </si>
  <si>
    <t xml:space="preserve">Good fit</t>
  </si>
  <si>
    <t xml:space="preserve">Broad alignment with one or two moderate gaps.</t>
  </si>
  <si>
    <t xml:space="preserve">Progress. Discuss flagged items openly in the interview and set expectations (e.g. limited remote work, flat structure).</t>
  </si>
  <si>
    <t xml:space="preserve">Good, provided expectations are set honestly before the offer.</t>
  </si>
  <si>
    <t xml:space="preserve">Partial fit</t>
  </si>
  <si>
    <t xml:space="preserve">Several gaps, or a strong mismatch in one dimension while others align.</t>
  </si>
  <si>
    <t xml:space="preserve">Progress only if the mismatched dimension is not central to the role, or if the role can be adjusted. Probe motivation in depth.</t>
  </si>
  <si>
    <t xml:space="preserve">Elevated risk of disengagement within 6–12 months unless the gap is addressed.</t>
  </si>
  <si>
    <t xml:space="preserve">Low fit</t>
  </si>
  <si>
    <t xml:space="preserve">The candidate's motivators differ substantially from what the role provides.</t>
  </si>
  <si>
    <t xml:space="preserve">Generally do not progress for this role; consider other openings that match their profile.</t>
  </si>
  <si>
    <t xml:space="preserve">High early-attrition risk even if skills are strong.</t>
  </si>
  <si>
    <t xml:space="preserve">Dimension-level interpretation</t>
  </si>
  <si>
    <t xml:space="preserve">High alignment means</t>
  </si>
  <si>
    <t xml:space="preserve">Low alignment usually means</t>
  </si>
  <si>
    <t xml:space="preserve">Suggested interview probe for flagged items</t>
  </si>
  <si>
    <t xml:space="preserve">Q1–Q5</t>
  </si>
  <si>
    <t xml:space="preserve">The intrinsic design of the job (variety, whole tasks, impact, autonomy, visible results) matches what the candidate finds meaningful.</t>
  </si>
  <si>
    <t xml:space="preserve">The job's design will not produce the psychological states that drive this candidate's motivation – e.g. they need autonomy the role can't give.</t>
  </si>
  <si>
    <t xml:space="preserve">"Describe a piece of work you found genuinely satisfying. What made it satisfying?" – listen for variety / ownership / impact / independence / results.</t>
  </si>
  <si>
    <t xml:space="preserve">Q6–Q8</t>
  </si>
  <si>
    <t xml:space="preserve">Candidate's appetite for growth, feedback and interaction matches how the role and team actually operate.</t>
  </si>
  <si>
    <t xml:space="preserve">Typically a high growth-need candidate in a static role, or a feedback-hungry candidate in a hands-off culture.</t>
  </si>
  <si>
    <t xml:space="preserve">"How do you like to receive feedback, and how often?" / "When did you last learn something new at work, and how did that come about?"</t>
  </si>
  <si>
    <t xml:space="preserve">Q9–Q14</t>
  </si>
  <si>
    <t xml:space="preserve">Compensation, security, flexibility, location, progression and recognition meet the candidate's stated priorities.</t>
  </si>
  <si>
    <t xml:space="preserve">One or more extrinsic factors the candidate ranks highly are below what the role provides – the most common cause of counter-offers and 6-month exits.</t>
  </si>
  <si>
    <t xml:space="preserve">Be transparent: "This role is on-site five days a week / has no formal promotion path in year one – how does that sit with you?"</t>
  </si>
  <si>
    <t xml:space="preserve">Q15–Q20</t>
  </si>
  <si>
    <t xml:space="preserve">The candidate enjoys the actual day-to-day activities, pace and team setting of the job.</t>
  </si>
  <si>
    <t xml:space="preserve">The candidate can probably do the work but will not enjoy the bulk of it – a slow-burn disengagement risk.</t>
  </si>
  <si>
    <t xml:space="preserve">"Walk me through your ideal working day – what would you spend most of it doing?" and compare with the real job.</t>
  </si>
  <si>
    <t xml:space="preserve">Legend: blue text / yellow fill = editable inputs (band thresholds A16:A19; weights and answers on 'Alignment calculator'). Black = formulas.</t>
  </si>
  <si>
    <t xml:space="preserve">Resource</t>
  </si>
  <si>
    <t xml:space="preserve">Type</t>
  </si>
  <si>
    <t xml:space="preserve">Licence / access</t>
  </si>
  <si>
    <t xml:space="preserve">Use it for</t>
  </si>
  <si>
    <t xml:space="preserve">URL</t>
  </si>
  <si>
    <t xml:space="preserve">Hackman &amp; Oldham (1976) – Motivation through the design of work: test of a theory. Org. Behavior &amp; Human Performance 16, 250–279</t>
  </si>
  <si>
    <t xml:space="preserve">Journal article (theory)</t>
  </si>
  <si>
    <t xml:space="preserve">Copyrighted; theory freely citable. The Job Diagnostic Survey (JDS) instrument itself is copyrighted – do not copy items</t>
  </si>
  <si>
    <t xml:space="preserve">Construct definitions for Q1–Q8 and the moderator logic</t>
  </si>
  <si>
    <t xml:space="preserve">https://doi.org/10.1016/0030-5073(76)90016-7</t>
  </si>
  <si>
    <t xml:space="preserve">Hackman &amp; Oldham (1975) – Development of the Job Diagnostic Survey. J. Applied Psychology 60(2), 159–170</t>
  </si>
  <si>
    <t xml:space="preserve">Journal article</t>
  </si>
  <si>
    <t xml:space="preserve">Copyrighted; citable</t>
  </si>
  <si>
    <t xml:space="preserve">Original five core dimensions and Motivating Potential Score formula</t>
  </si>
  <si>
    <t xml:space="preserve">https://doi.org/10.1037/h0076546</t>
  </si>
  <si>
    <t xml:space="preserve">Morgeson &amp; Humphrey (2006) – Work Design Questionnaire (WDQ)</t>
  </si>
  <si>
    <t xml:space="preserve">Validated questionnaire (21 work characteristics)</t>
  </si>
  <si>
    <t xml:space="preserve">Free for research use; check with authors for commercial use</t>
  </si>
  <si>
    <t xml:space="preserve">Broader, modern set of work characteristics; useful for adding items</t>
  </si>
  <si>
    <t xml:space="preserve">https://doi.org/10.1037/0021-9010.91.6.1321</t>
  </si>
  <si>
    <t xml:space="preserve">O*NET Work Values (Achievement, Independence, Recognition, Relationships, Support, Working Conditions)</t>
  </si>
  <si>
    <t xml:space="preserve">Taxonomy + occupation ratings</t>
  </si>
  <si>
    <t xml:space="preserve">Public domain (US Dept. of Labor, CC BY 4.0 for O*NET data)</t>
  </si>
  <si>
    <t xml:space="preserve">Benchmark employer role profiles against national occupation data; source for Q9–Q14 factors</t>
  </si>
  <si>
    <t xml:space="preserve">https://www.onetonline.org/find/descriptor/browse/Work_Values/</t>
  </si>
  <si>
    <t xml:space="preserve">O*NET Work Importance Profiler (WIP)</t>
  </si>
  <si>
    <t xml:space="preserve">Free self-assessment instrument</t>
  </si>
  <si>
    <t xml:space="preserve">Public domain</t>
  </si>
  <si>
    <t xml:space="preserve">Reference format for candidate-facing preference items</t>
  </si>
  <si>
    <t xml:space="preserve">https://www.onetcenter.org/WIP.html</t>
  </si>
  <si>
    <t xml:space="preserve">O*NET Work Activities &amp; Work Context taxonomies</t>
  </si>
  <si>
    <t xml:space="preserve">Taxonomy</t>
  </si>
  <si>
    <t xml:space="preserve">Public domain / CC BY 4.0</t>
  </si>
  <si>
    <t xml:space="preserve">Standard vocabulary for activity items (Q15–Q20) and context items (pace, remote, interaction)</t>
  </si>
  <si>
    <t xml:space="preserve">https://www.onetcenter.org/dictionary/</t>
  </si>
  <si>
    <t xml:space="preserve">Deci &amp; Ryan – Self-Determination Theory (autonomy, competence, relatedness)</t>
  </si>
  <si>
    <t xml:space="preserve">Theory; SDT scales</t>
  </si>
  <si>
    <t xml:space="preserve">Many SDT scales free for academic use via selfdeterminationtheory.org</t>
  </si>
  <si>
    <t xml:space="preserve">Complementary framework for autonomy (Q4), growth (Q6), relatedness (Q8, Q20)</t>
  </si>
  <si>
    <t xml:space="preserve">https://selfdeterminationtheory.org/questionnaires/</t>
  </si>
  <si>
    <t xml:space="preserve">Minnesota Importance Questionnaire (MIQ) – Vocational Psychology Research, U. of Minnesota</t>
  </si>
  <si>
    <t xml:space="preserve">Work-values instrument</t>
  </si>
  <si>
    <t xml:space="preserve">Available from the university; check licence</t>
  </si>
  <si>
    <t xml:space="preserve">Historical basis of O*NET work values</t>
  </si>
  <si>
    <t xml:space="preserve">https://vpr.psych.umn.edu/</t>
  </si>
  <si>
    <t xml:space="preserve">Fried &amp; Ferris (1987) – meta-analysis of the Job Characteristics Model</t>
  </si>
  <si>
    <t xml:space="preserve">Meta-analysis</t>
  </si>
  <si>
    <t xml:space="preserve">Evidence base for the claim that JCM dimensions predict satisfaction and performance</t>
  </si>
  <si>
    <t xml:space="preserve">https://doi.org/10.1111/j.1744-6570.1987.tb00605.x</t>
  </si>
  <si>
    <t xml:space="preserve">All 20 items in this workbook are original wordings written for this assessment. They operationalise published constructs but do not reproduce the JDS, WDQ or TestGorilla items.</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</si>
</sst>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color rgb="FF595959"/>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E2EFDA"/>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top" textRotation="0" wrapText="true" indent="0" shrinkToFit="false"/>
      <protection locked="true" hidden="false"/>
    </xf>
    <xf numFmtId="165" fontId="6" fillId="0" borderId="1" xfId="0" applyFont="true" applyBorder="true" applyAlignment="true" applyProtection="false">
      <alignment horizontal="center" vertical="top" textRotation="0" wrapText="tru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6" fontId="9" fillId="3" borderId="1" xfId="0" applyFont="true" applyBorder="true" applyAlignment="true" applyProtection="false">
      <alignment horizontal="center" vertical="top" textRotation="0" wrapText="true" indent="0" shrinkToFit="false"/>
      <protection locked="true" hidden="false"/>
    </xf>
    <xf numFmtId="167" fontId="6"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6" fontId="5" fillId="0" borderId="0" xfId="0" applyFont="true" applyBorder="false" applyAlignment="true" applyProtection="false">
      <alignment horizontal="center" vertical="top" textRotation="0" wrapText="true" indent="0" shrinkToFit="false"/>
      <protection locked="true" hidden="false"/>
    </xf>
    <xf numFmtId="166" fontId="5" fillId="4" borderId="0" xfId="0" applyFont="true" applyBorder="false" applyAlignment="true" applyProtection="false">
      <alignment horizontal="center" vertical="top" textRotation="0" wrapText="true" indent="0" shrinkToFit="false"/>
      <protection locked="true" hidden="false"/>
    </xf>
    <xf numFmtId="164" fontId="5" fillId="4"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5"/>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n">
        <f aca="false">Questionnaire!$B$25</f>
        <v>20</v>
      </c>
    </row>
    <row r="6" customFormat="false" ht="23.85" hidden="false" customHeight="false" outlineLevel="0" collapsed="false">
      <c r="A6" s="2" t="s">
        <v>6</v>
      </c>
      <c r="B6" s="3" t="s">
        <v>7</v>
      </c>
    </row>
    <row r="7" customFormat="false" ht="15" hidden="false" customHeight="false" outlineLevel="0" collapsed="false">
      <c r="A7" s="2" t="s">
        <v>8</v>
      </c>
      <c r="B7" s="3" t="s">
        <v>9</v>
      </c>
    </row>
    <row r="8" customFormat="false" ht="15" hidden="false" customHeight="false" outlineLevel="0" collapsed="false">
      <c r="A8" s="2" t="s">
        <v>10</v>
      </c>
      <c r="B8" s="3" t="s">
        <v>11</v>
      </c>
    </row>
    <row r="9" customFormat="false" ht="23.85" hidden="false" customHeight="false" outlineLevel="0" collapsed="false">
      <c r="A9" s="2" t="s">
        <v>12</v>
      </c>
      <c r="B9" s="3" t="s">
        <v>13</v>
      </c>
    </row>
    <row r="10" customFormat="false" ht="57.45" hidden="false" customHeight="false" outlineLevel="0" collapsed="false">
      <c r="A10" s="2" t="s">
        <v>14</v>
      </c>
      <c r="B10" s="3" t="s">
        <v>15</v>
      </c>
    </row>
    <row r="11" customFormat="false" ht="46.25" hidden="false" customHeight="false" outlineLevel="0" collapsed="false">
      <c r="A11" s="2" t="s">
        <v>16</v>
      </c>
      <c r="B11" s="3" t="s">
        <v>17</v>
      </c>
    </row>
    <row r="12" customFormat="false" ht="23.85" hidden="false" customHeight="false" outlineLevel="0" collapsed="false">
      <c r="A12" s="2" t="s">
        <v>18</v>
      </c>
      <c r="B12" s="3" t="s">
        <v>19</v>
      </c>
    </row>
    <row r="13" customFormat="false" ht="124.6" hidden="false" customHeight="false" outlineLevel="0" collapsed="false">
      <c r="A13" s="2" t="s">
        <v>20</v>
      </c>
      <c r="B13" s="3" t="s">
        <v>21</v>
      </c>
    </row>
    <row r="14" customFormat="false" ht="46.25" hidden="false" customHeight="false" outlineLevel="0" collapsed="false">
      <c r="A14" s="2" t="s">
        <v>22</v>
      </c>
      <c r="B14" s="3" t="s">
        <v>23</v>
      </c>
    </row>
    <row r="15" customFormat="false" ht="23.85" hidden="false" customHeight="false" outlineLevel="0" collapsed="false">
      <c r="A15" s="2" t="s">
        <v>24</v>
      </c>
      <c r="B15" s="3" t="s">
        <v>25</v>
      </c>
    </row>
    <row r="16" customFormat="false" ht="15" hidden="false" customHeight="false" outlineLevel="0" collapsed="false">
      <c r="A16" s="2" t="s">
        <v>26</v>
      </c>
      <c r="B16" s="3"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2"/>
    <col collapsed="false" customWidth="true" hidden="false" outlineLevel="0" max="4" min="4" style="0" width="14"/>
    <col collapsed="false" customWidth="true" hidden="false" outlineLevel="0" max="5" min="5" style="0" width="48"/>
    <col collapsed="false" customWidth="true" hidden="false" outlineLevel="0" max="6" min="6" style="0" width="30"/>
    <col collapsed="false" customWidth="true" hidden="false" outlineLevel="0" max="7" min="7" style="0" width="48"/>
    <col collapsed="false" customWidth="true" hidden="false" outlineLevel="0" max="8" min="8" style="0" width="30"/>
    <col collapsed="false" customWidth="true" hidden="false" outlineLevel="0" max="9" min="9" style="0" width="10"/>
    <col collapsed="false" customWidth="true" hidden="false" outlineLevel="0" max="10" min="10" style="0" width="20"/>
    <col collapsed="false" customWidth="true" hidden="false" outlineLevel="0" max="11" min="11" style="0" width="52"/>
  </cols>
  <sheetData>
    <row r="1" customFormat="false" ht="26.85" hidden="false" customHeight="false" outlineLevel="0" collapsed="false">
      <c r="A1" s="4" t="s">
        <v>28</v>
      </c>
      <c r="B1" s="4" t="s">
        <v>29</v>
      </c>
      <c r="C1" s="4" t="s">
        <v>30</v>
      </c>
      <c r="D1" s="4" t="s">
        <v>31</v>
      </c>
      <c r="E1" s="4" t="s">
        <v>32</v>
      </c>
      <c r="F1" s="4" t="s">
        <v>33</v>
      </c>
      <c r="G1" s="4" t="s">
        <v>34</v>
      </c>
      <c r="H1" s="4" t="s">
        <v>35</v>
      </c>
      <c r="I1" s="4" t="s">
        <v>36</v>
      </c>
      <c r="J1" s="4" t="s">
        <v>37</v>
      </c>
      <c r="K1" s="4" t="s">
        <v>38</v>
      </c>
    </row>
    <row r="2" customFormat="false" ht="35.05" hidden="false" customHeight="false" outlineLevel="0" collapsed="false">
      <c r="A2" s="5" t="s">
        <v>39</v>
      </c>
      <c r="B2" s="5" t="s">
        <v>40</v>
      </c>
      <c r="C2" s="5" t="s">
        <v>41</v>
      </c>
      <c r="D2" s="5" t="s">
        <v>42</v>
      </c>
      <c r="E2" s="5" t="s">
        <v>43</v>
      </c>
      <c r="F2" s="5" t="s">
        <v>44</v>
      </c>
      <c r="G2" s="5" t="s">
        <v>45</v>
      </c>
      <c r="H2" s="5" t="s">
        <v>46</v>
      </c>
      <c r="I2" s="5" t="s">
        <v>47</v>
      </c>
      <c r="J2" s="5" t="s">
        <v>48</v>
      </c>
      <c r="K2" s="5" t="s">
        <v>49</v>
      </c>
    </row>
    <row r="3" customFormat="false" ht="35.05" hidden="false" customHeight="false" outlineLevel="0" collapsed="false">
      <c r="A3" s="5" t="s">
        <v>50</v>
      </c>
      <c r="B3" s="5" t="s">
        <v>40</v>
      </c>
      <c r="C3" s="5" t="s">
        <v>51</v>
      </c>
      <c r="D3" s="5" t="s">
        <v>42</v>
      </c>
      <c r="E3" s="5" t="s">
        <v>52</v>
      </c>
      <c r="F3" s="5" t="s">
        <v>44</v>
      </c>
      <c r="G3" s="5" t="s">
        <v>53</v>
      </c>
      <c r="H3" s="5" t="s">
        <v>46</v>
      </c>
      <c r="I3" s="5" t="s">
        <v>47</v>
      </c>
      <c r="J3" s="5" t="s">
        <v>48</v>
      </c>
      <c r="K3" s="5" t="s">
        <v>54</v>
      </c>
    </row>
    <row r="4" customFormat="false" ht="23.85" hidden="false" customHeight="false" outlineLevel="0" collapsed="false">
      <c r="A4" s="5" t="s">
        <v>55</v>
      </c>
      <c r="B4" s="5" t="s">
        <v>40</v>
      </c>
      <c r="C4" s="5" t="s">
        <v>56</v>
      </c>
      <c r="D4" s="5" t="s">
        <v>42</v>
      </c>
      <c r="E4" s="5" t="s">
        <v>57</v>
      </c>
      <c r="F4" s="5" t="s">
        <v>44</v>
      </c>
      <c r="G4" s="5" t="s">
        <v>58</v>
      </c>
      <c r="H4" s="5" t="s">
        <v>46</v>
      </c>
      <c r="I4" s="5" t="s">
        <v>47</v>
      </c>
      <c r="J4" s="5" t="s">
        <v>48</v>
      </c>
      <c r="K4" s="5" t="s">
        <v>59</v>
      </c>
    </row>
    <row r="5" customFormat="false" ht="35.05" hidden="false" customHeight="false" outlineLevel="0" collapsed="false">
      <c r="A5" s="5" t="s">
        <v>60</v>
      </c>
      <c r="B5" s="5" t="s">
        <v>40</v>
      </c>
      <c r="C5" s="5" t="s">
        <v>61</v>
      </c>
      <c r="D5" s="5" t="s">
        <v>42</v>
      </c>
      <c r="E5" s="5" t="s">
        <v>62</v>
      </c>
      <c r="F5" s="5" t="s">
        <v>44</v>
      </c>
      <c r="G5" s="5" t="s">
        <v>63</v>
      </c>
      <c r="H5" s="5" t="s">
        <v>46</v>
      </c>
      <c r="I5" s="5" t="s">
        <v>47</v>
      </c>
      <c r="J5" s="5" t="s">
        <v>48</v>
      </c>
      <c r="K5" s="5" t="s">
        <v>64</v>
      </c>
    </row>
    <row r="6" customFormat="false" ht="35.05" hidden="false" customHeight="false" outlineLevel="0" collapsed="false">
      <c r="A6" s="5" t="s">
        <v>65</v>
      </c>
      <c r="B6" s="5" t="s">
        <v>40</v>
      </c>
      <c r="C6" s="5" t="s">
        <v>66</v>
      </c>
      <c r="D6" s="5" t="s">
        <v>42</v>
      </c>
      <c r="E6" s="5" t="s">
        <v>67</v>
      </c>
      <c r="F6" s="5" t="s">
        <v>44</v>
      </c>
      <c r="G6" s="5" t="s">
        <v>68</v>
      </c>
      <c r="H6" s="5" t="s">
        <v>46</v>
      </c>
      <c r="I6" s="5" t="s">
        <v>47</v>
      </c>
      <c r="J6" s="5" t="s">
        <v>48</v>
      </c>
      <c r="K6" s="5" t="s">
        <v>69</v>
      </c>
    </row>
    <row r="7" customFormat="false" ht="35.05" hidden="false" customHeight="false" outlineLevel="0" collapsed="false">
      <c r="A7" s="5" t="s">
        <v>70</v>
      </c>
      <c r="B7" s="5" t="s">
        <v>71</v>
      </c>
      <c r="C7" s="5" t="s">
        <v>72</v>
      </c>
      <c r="D7" s="5" t="s">
        <v>42</v>
      </c>
      <c r="E7" s="5" t="s">
        <v>73</v>
      </c>
      <c r="F7" s="5" t="s">
        <v>44</v>
      </c>
      <c r="G7" s="5" t="s">
        <v>74</v>
      </c>
      <c r="H7" s="5" t="s">
        <v>46</v>
      </c>
      <c r="I7" s="5" t="s">
        <v>47</v>
      </c>
      <c r="J7" s="5" t="s">
        <v>48</v>
      </c>
      <c r="K7" s="5" t="s">
        <v>75</v>
      </c>
    </row>
    <row r="8" customFormat="false" ht="35.05" hidden="false" customHeight="false" outlineLevel="0" collapsed="false">
      <c r="A8" s="5" t="s">
        <v>76</v>
      </c>
      <c r="B8" s="5" t="s">
        <v>71</v>
      </c>
      <c r="C8" s="5" t="s">
        <v>77</v>
      </c>
      <c r="D8" s="5" t="s">
        <v>42</v>
      </c>
      <c r="E8" s="5" t="s">
        <v>78</v>
      </c>
      <c r="F8" s="5" t="s">
        <v>79</v>
      </c>
      <c r="G8" s="5" t="s">
        <v>80</v>
      </c>
      <c r="H8" s="5" t="s">
        <v>46</v>
      </c>
      <c r="I8" s="5" t="s">
        <v>47</v>
      </c>
      <c r="J8" s="5" t="s">
        <v>48</v>
      </c>
      <c r="K8" s="5" t="s">
        <v>81</v>
      </c>
    </row>
    <row r="9" customFormat="false" ht="35.05" hidden="false" customHeight="false" outlineLevel="0" collapsed="false">
      <c r="A9" s="5" t="s">
        <v>82</v>
      </c>
      <c r="B9" s="5" t="s">
        <v>71</v>
      </c>
      <c r="C9" s="5" t="s">
        <v>83</v>
      </c>
      <c r="D9" s="5" t="s">
        <v>42</v>
      </c>
      <c r="E9" s="5" t="s">
        <v>84</v>
      </c>
      <c r="F9" s="5" t="s">
        <v>44</v>
      </c>
      <c r="G9" s="5" t="s">
        <v>85</v>
      </c>
      <c r="H9" s="5" t="s">
        <v>46</v>
      </c>
      <c r="I9" s="5" t="s">
        <v>47</v>
      </c>
      <c r="J9" s="5" t="s">
        <v>48</v>
      </c>
      <c r="K9" s="5" t="s">
        <v>86</v>
      </c>
    </row>
    <row r="10" customFormat="false" ht="35.05" hidden="false" customHeight="false" outlineLevel="0" collapsed="false">
      <c r="A10" s="5" t="s">
        <v>87</v>
      </c>
      <c r="B10" s="5" t="s">
        <v>88</v>
      </c>
      <c r="C10" s="5" t="s">
        <v>89</v>
      </c>
      <c r="D10" s="5" t="s">
        <v>42</v>
      </c>
      <c r="E10" s="5" t="s">
        <v>90</v>
      </c>
      <c r="F10" s="5" t="s">
        <v>91</v>
      </c>
      <c r="G10" s="5" t="s">
        <v>92</v>
      </c>
      <c r="H10" s="5" t="s">
        <v>46</v>
      </c>
      <c r="I10" s="5" t="s">
        <v>47</v>
      </c>
      <c r="J10" s="5" t="s">
        <v>48</v>
      </c>
      <c r="K10" s="5" t="s">
        <v>93</v>
      </c>
    </row>
    <row r="11" customFormat="false" ht="23.85" hidden="false" customHeight="false" outlineLevel="0" collapsed="false">
      <c r="A11" s="5" t="s">
        <v>94</v>
      </c>
      <c r="B11" s="5" t="s">
        <v>88</v>
      </c>
      <c r="C11" s="5" t="s">
        <v>95</v>
      </c>
      <c r="D11" s="5" t="s">
        <v>42</v>
      </c>
      <c r="E11" s="5" t="s">
        <v>96</v>
      </c>
      <c r="F11" s="5" t="s">
        <v>97</v>
      </c>
      <c r="G11" s="5" t="s">
        <v>98</v>
      </c>
      <c r="H11" s="5" t="s">
        <v>46</v>
      </c>
      <c r="I11" s="5" t="s">
        <v>47</v>
      </c>
      <c r="J11" s="5" t="s">
        <v>48</v>
      </c>
      <c r="K11" s="5" t="s">
        <v>99</v>
      </c>
    </row>
    <row r="12" customFormat="false" ht="23.85" hidden="false" customHeight="false" outlineLevel="0" collapsed="false">
      <c r="A12" s="5" t="s">
        <v>100</v>
      </c>
      <c r="B12" s="5" t="s">
        <v>88</v>
      </c>
      <c r="C12" s="5" t="s">
        <v>101</v>
      </c>
      <c r="D12" s="5" t="s">
        <v>42</v>
      </c>
      <c r="E12" s="5" t="s">
        <v>102</v>
      </c>
      <c r="F12" s="5" t="s">
        <v>103</v>
      </c>
      <c r="G12" s="5" t="s">
        <v>104</v>
      </c>
      <c r="H12" s="5" t="s">
        <v>46</v>
      </c>
      <c r="I12" s="5" t="s">
        <v>47</v>
      </c>
      <c r="J12" s="5" t="s">
        <v>48</v>
      </c>
      <c r="K12" s="5" t="s">
        <v>105</v>
      </c>
    </row>
    <row r="13" customFormat="false" ht="23.85" hidden="false" customHeight="false" outlineLevel="0" collapsed="false">
      <c r="A13" s="5" t="s">
        <v>106</v>
      </c>
      <c r="B13" s="5" t="s">
        <v>88</v>
      </c>
      <c r="C13" s="5" t="s">
        <v>107</v>
      </c>
      <c r="D13" s="5" t="s">
        <v>42</v>
      </c>
      <c r="E13" s="5" t="s">
        <v>108</v>
      </c>
      <c r="F13" s="5" t="s">
        <v>109</v>
      </c>
      <c r="G13" s="5" t="s">
        <v>110</v>
      </c>
      <c r="H13" s="5" t="s">
        <v>46</v>
      </c>
      <c r="I13" s="5" t="s">
        <v>47</v>
      </c>
      <c r="J13" s="5" t="s">
        <v>48</v>
      </c>
      <c r="K13" s="5" t="s">
        <v>111</v>
      </c>
    </row>
    <row r="14" customFormat="false" ht="23.85" hidden="false" customHeight="false" outlineLevel="0" collapsed="false">
      <c r="A14" s="5" t="s">
        <v>112</v>
      </c>
      <c r="B14" s="5" t="s">
        <v>88</v>
      </c>
      <c r="C14" s="5" t="s">
        <v>113</v>
      </c>
      <c r="D14" s="5" t="s">
        <v>42</v>
      </c>
      <c r="E14" s="5" t="s">
        <v>114</v>
      </c>
      <c r="F14" s="5" t="s">
        <v>115</v>
      </c>
      <c r="G14" s="5" t="s">
        <v>116</v>
      </c>
      <c r="H14" s="5" t="s">
        <v>46</v>
      </c>
      <c r="I14" s="5" t="s">
        <v>47</v>
      </c>
      <c r="J14" s="5" t="s">
        <v>48</v>
      </c>
      <c r="K14" s="5" t="s">
        <v>117</v>
      </c>
    </row>
    <row r="15" customFormat="false" ht="35.05" hidden="false" customHeight="false" outlineLevel="0" collapsed="false">
      <c r="A15" s="5" t="s">
        <v>118</v>
      </c>
      <c r="B15" s="5" t="s">
        <v>88</v>
      </c>
      <c r="C15" s="5" t="s">
        <v>119</v>
      </c>
      <c r="D15" s="5" t="s">
        <v>42</v>
      </c>
      <c r="E15" s="5" t="s">
        <v>120</v>
      </c>
      <c r="F15" s="5" t="s">
        <v>44</v>
      </c>
      <c r="G15" s="5" t="s">
        <v>121</v>
      </c>
      <c r="H15" s="5" t="s">
        <v>46</v>
      </c>
      <c r="I15" s="5" t="s">
        <v>47</v>
      </c>
      <c r="J15" s="5" t="s">
        <v>48</v>
      </c>
      <c r="K15" s="5" t="s">
        <v>122</v>
      </c>
    </row>
    <row r="16" customFormat="false" ht="23.85" hidden="false" customHeight="false" outlineLevel="0" collapsed="false">
      <c r="A16" s="5" t="s">
        <v>123</v>
      </c>
      <c r="B16" s="5" t="s">
        <v>124</v>
      </c>
      <c r="C16" s="5" t="s">
        <v>125</v>
      </c>
      <c r="D16" s="5" t="s">
        <v>42</v>
      </c>
      <c r="E16" s="5" t="s">
        <v>126</v>
      </c>
      <c r="F16" s="5" t="s">
        <v>127</v>
      </c>
      <c r="G16" s="5" t="s">
        <v>128</v>
      </c>
      <c r="H16" s="5" t="s">
        <v>129</v>
      </c>
      <c r="I16" s="5" t="s">
        <v>47</v>
      </c>
      <c r="J16" s="5" t="s">
        <v>48</v>
      </c>
      <c r="K16" s="5" t="s">
        <v>130</v>
      </c>
    </row>
    <row r="17" customFormat="false" ht="23.85" hidden="false" customHeight="false" outlineLevel="0" collapsed="false">
      <c r="A17" s="5" t="s">
        <v>131</v>
      </c>
      <c r="B17" s="5" t="s">
        <v>124</v>
      </c>
      <c r="C17" s="5" t="s">
        <v>132</v>
      </c>
      <c r="D17" s="5" t="s">
        <v>42</v>
      </c>
      <c r="E17" s="5" t="s">
        <v>133</v>
      </c>
      <c r="F17" s="5" t="s">
        <v>127</v>
      </c>
      <c r="G17" s="5" t="s">
        <v>134</v>
      </c>
      <c r="H17" s="5" t="s">
        <v>129</v>
      </c>
      <c r="I17" s="5" t="s">
        <v>47</v>
      </c>
      <c r="J17" s="5" t="s">
        <v>48</v>
      </c>
      <c r="K17" s="5" t="s">
        <v>135</v>
      </c>
    </row>
    <row r="18" customFormat="false" ht="35.05" hidden="false" customHeight="false" outlineLevel="0" collapsed="false">
      <c r="A18" s="5" t="s">
        <v>136</v>
      </c>
      <c r="B18" s="5" t="s">
        <v>124</v>
      </c>
      <c r="C18" s="5" t="s">
        <v>137</v>
      </c>
      <c r="D18" s="5" t="s">
        <v>42</v>
      </c>
      <c r="E18" s="5" t="s">
        <v>138</v>
      </c>
      <c r="F18" s="5" t="s">
        <v>127</v>
      </c>
      <c r="G18" s="5" t="s">
        <v>139</v>
      </c>
      <c r="H18" s="5" t="s">
        <v>129</v>
      </c>
      <c r="I18" s="5" t="s">
        <v>47</v>
      </c>
      <c r="J18" s="5" t="s">
        <v>48</v>
      </c>
      <c r="K18" s="5" t="s">
        <v>140</v>
      </c>
    </row>
    <row r="19" customFormat="false" ht="23.85" hidden="false" customHeight="false" outlineLevel="0" collapsed="false">
      <c r="A19" s="5" t="s">
        <v>141</v>
      </c>
      <c r="B19" s="5" t="s">
        <v>124</v>
      </c>
      <c r="C19" s="5" t="s">
        <v>142</v>
      </c>
      <c r="D19" s="5" t="s">
        <v>42</v>
      </c>
      <c r="E19" s="5" t="s">
        <v>143</v>
      </c>
      <c r="F19" s="5" t="s">
        <v>127</v>
      </c>
      <c r="G19" s="5" t="s">
        <v>144</v>
      </c>
      <c r="H19" s="5" t="s">
        <v>129</v>
      </c>
      <c r="I19" s="5" t="s">
        <v>47</v>
      </c>
      <c r="J19" s="5" t="s">
        <v>48</v>
      </c>
      <c r="K19" s="5" t="s">
        <v>145</v>
      </c>
    </row>
    <row r="20" customFormat="false" ht="46.25" hidden="false" customHeight="false" outlineLevel="0" collapsed="false">
      <c r="A20" s="5" t="s">
        <v>146</v>
      </c>
      <c r="B20" s="5" t="s">
        <v>124</v>
      </c>
      <c r="C20" s="5" t="s">
        <v>147</v>
      </c>
      <c r="D20" s="5" t="s">
        <v>148</v>
      </c>
      <c r="E20" s="5" t="s">
        <v>149</v>
      </c>
      <c r="F20" s="5" t="s">
        <v>150</v>
      </c>
      <c r="G20" s="5" t="s">
        <v>151</v>
      </c>
      <c r="H20" s="5" t="s">
        <v>152</v>
      </c>
      <c r="I20" s="5" t="s">
        <v>47</v>
      </c>
      <c r="J20" s="5" t="s">
        <v>153</v>
      </c>
      <c r="K20" s="5" t="s">
        <v>154</v>
      </c>
    </row>
    <row r="21" customFormat="false" ht="46.25" hidden="false" customHeight="false" outlineLevel="0" collapsed="false">
      <c r="A21" s="5" t="s">
        <v>155</v>
      </c>
      <c r="B21" s="5" t="s">
        <v>124</v>
      </c>
      <c r="C21" s="5" t="s">
        <v>156</v>
      </c>
      <c r="D21" s="5" t="s">
        <v>148</v>
      </c>
      <c r="E21" s="5" t="s">
        <v>157</v>
      </c>
      <c r="F21" s="5" t="s">
        <v>158</v>
      </c>
      <c r="G21" s="5" t="s">
        <v>159</v>
      </c>
      <c r="H21" s="5" t="s">
        <v>160</v>
      </c>
      <c r="I21" s="5" t="s">
        <v>47</v>
      </c>
      <c r="J21" s="5" t="s">
        <v>153</v>
      </c>
      <c r="K21" s="5" t="s">
        <v>161</v>
      </c>
    </row>
    <row r="24" customFormat="false" ht="15" hidden="false" customHeight="false" outlineLevel="0" collapsed="false">
      <c r="A24" s="6" t="s">
        <v>162</v>
      </c>
    </row>
    <row r="25" customFormat="false" ht="15" hidden="false" customHeight="false" outlineLevel="0" collapsed="false">
      <c r="A25" s="7" t="s">
        <v>163</v>
      </c>
      <c r="B25" s="6" t="n">
        <f aca="false">COUNTA(A2:A21)</f>
        <v>20</v>
      </c>
    </row>
    <row r="26" customFormat="false" ht="15" hidden="false" customHeight="false" outlineLevel="0" collapsed="false">
      <c r="A26" s="7" t="s">
        <v>40</v>
      </c>
      <c r="B26" s="6" t="n">
        <f aca="false">COUNTIF(B2:B21,"Core job characteristics")</f>
        <v>5</v>
      </c>
    </row>
    <row r="27" customFormat="false" ht="15" hidden="false" customHeight="false" outlineLevel="0" collapsed="false">
      <c r="A27" s="7" t="s">
        <v>71</v>
      </c>
      <c r="B27" s="6" t="n">
        <f aca="false">COUNTIF(B2:B21,"Motivation moderators")</f>
        <v>3</v>
      </c>
    </row>
    <row r="28" customFormat="false" ht="15" hidden="false" customHeight="false" outlineLevel="0" collapsed="false">
      <c r="A28" s="7" t="s">
        <v>88</v>
      </c>
      <c r="B28" s="6" t="n">
        <f aca="false">COUNTIF(B2:B21,"Extrinsic &amp; workplace factors")</f>
        <v>6</v>
      </c>
    </row>
    <row r="29" customFormat="false" ht="15" hidden="false" customHeight="false" outlineLevel="0" collapsed="false">
      <c r="A29" s="7" t="s">
        <v>124</v>
      </c>
      <c r="B29" s="6" t="n">
        <f aca="false">COUNTIF(B2:B21,"Work activities")</f>
        <v>6</v>
      </c>
    </row>
    <row r="31" customFormat="false" ht="15" hidden="false" customHeight="false" outlineLevel="0" collapsed="false">
      <c r="A31" s="8" t="s">
        <v>164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24"/>
    <col collapsed="false" customWidth="true" hidden="false" outlineLevel="0" max="5" min="4" style="0" width="14"/>
    <col collapsed="false" customWidth="true" hidden="false" outlineLevel="0" max="6" min="6" style="0" width="13"/>
    <col collapsed="false" customWidth="true" hidden="false" outlineLevel="0" max="7" min="7" style="0" width="15"/>
    <col collapsed="false" customWidth="true" hidden="false" outlineLevel="0" max="8" min="8" style="0" width="22"/>
    <col collapsed="false" customWidth="true" hidden="false" outlineLevel="0" max="9" min="9" style="0" width="13"/>
  </cols>
  <sheetData>
    <row r="1" customFormat="false" ht="17.35" hidden="false" customHeight="false" outlineLevel="0" collapsed="false">
      <c r="A1" s="1" t="s">
        <v>165</v>
      </c>
    </row>
    <row r="2" customFormat="false" ht="15" hidden="false" customHeight="false" outlineLevel="0" collapsed="false">
      <c r="A2" s="8" t="s">
        <v>166</v>
      </c>
    </row>
    <row r="4" customFormat="false" ht="26.85" hidden="false" customHeight="false" outlineLevel="0" collapsed="false">
      <c r="A4" s="4" t="s">
        <v>28</v>
      </c>
      <c r="B4" s="4" t="s">
        <v>29</v>
      </c>
      <c r="C4" s="4" t="s">
        <v>167</v>
      </c>
      <c r="D4" s="4" t="s">
        <v>168</v>
      </c>
      <c r="E4" s="4" t="s">
        <v>169</v>
      </c>
      <c r="F4" s="4" t="s">
        <v>170</v>
      </c>
      <c r="G4" s="4" t="s">
        <v>171</v>
      </c>
      <c r="H4" s="4" t="s">
        <v>172</v>
      </c>
      <c r="I4" s="4" t="s">
        <v>31</v>
      </c>
    </row>
    <row r="5" customFormat="false" ht="15" hidden="false" customHeight="false" outlineLevel="0" collapsed="false">
      <c r="A5" s="5" t="s">
        <v>39</v>
      </c>
      <c r="B5" s="5" t="s">
        <v>40</v>
      </c>
      <c r="C5" s="5" t="s">
        <v>41</v>
      </c>
      <c r="D5" s="9" t="n">
        <v>3</v>
      </c>
      <c r="E5" s="9" t="n">
        <v>4</v>
      </c>
      <c r="F5" s="10" t="n">
        <f aca="false">E5-D5</f>
        <v>1</v>
      </c>
      <c r="G5" s="11" t="n">
        <f aca="false">1-ABS(D5-E5)/4</f>
        <v>0.75</v>
      </c>
      <c r="H5" s="10" t="str">
        <f aca="false">IF(ABS(F5)&gt;=2,IF(F5&gt;0,"Candidate wants more","Role offers more"),"")</f>
        <v/>
      </c>
      <c r="I5" s="10" t="s">
        <v>42</v>
      </c>
    </row>
    <row r="6" customFormat="false" ht="15" hidden="false" customHeight="false" outlineLevel="0" collapsed="false">
      <c r="A6" s="5" t="s">
        <v>50</v>
      </c>
      <c r="B6" s="5" t="s">
        <v>40</v>
      </c>
      <c r="C6" s="5" t="s">
        <v>51</v>
      </c>
      <c r="D6" s="9" t="n">
        <v>3</v>
      </c>
      <c r="E6" s="9" t="n">
        <v>3</v>
      </c>
      <c r="F6" s="10" t="n">
        <f aca="false">E6-D6</f>
        <v>0</v>
      </c>
      <c r="G6" s="11" t="n">
        <f aca="false">1-ABS(D6-E6)/4</f>
        <v>1</v>
      </c>
      <c r="H6" s="10" t="str">
        <f aca="false">IF(ABS(F6)&gt;=2,IF(F6&gt;0,"Candidate wants more","Role offers more"),"")</f>
        <v/>
      </c>
      <c r="I6" s="10" t="s">
        <v>42</v>
      </c>
    </row>
    <row r="7" customFormat="false" ht="15" hidden="false" customHeight="false" outlineLevel="0" collapsed="false">
      <c r="A7" s="5" t="s">
        <v>55</v>
      </c>
      <c r="B7" s="5" t="s">
        <v>40</v>
      </c>
      <c r="C7" s="5" t="s">
        <v>56</v>
      </c>
      <c r="D7" s="9" t="n">
        <v>4</v>
      </c>
      <c r="E7" s="9" t="n">
        <v>5</v>
      </c>
      <c r="F7" s="10" t="n">
        <f aca="false">E7-D7</f>
        <v>1</v>
      </c>
      <c r="G7" s="11" t="n">
        <f aca="false">1-ABS(D7-E7)/4</f>
        <v>0.75</v>
      </c>
      <c r="H7" s="10" t="str">
        <f aca="false">IF(ABS(F7)&gt;=2,IF(F7&gt;0,"Candidate wants more","Role offers more"),"")</f>
        <v/>
      </c>
      <c r="I7" s="10" t="s">
        <v>42</v>
      </c>
    </row>
    <row r="8" customFormat="false" ht="15" hidden="false" customHeight="false" outlineLevel="0" collapsed="false">
      <c r="A8" s="5" t="s">
        <v>60</v>
      </c>
      <c r="B8" s="5" t="s">
        <v>40</v>
      </c>
      <c r="C8" s="5" t="s">
        <v>61</v>
      </c>
      <c r="D8" s="9" t="n">
        <v>2</v>
      </c>
      <c r="E8" s="9" t="n">
        <v>3</v>
      </c>
      <c r="F8" s="10" t="n">
        <f aca="false">E8-D8</f>
        <v>1</v>
      </c>
      <c r="G8" s="11" t="n">
        <f aca="false">1-ABS(D8-E8)/4</f>
        <v>0.75</v>
      </c>
      <c r="H8" s="10" t="str">
        <f aca="false">IF(ABS(F8)&gt;=2,IF(F8&gt;0,"Candidate wants more","Role offers more"),"")</f>
        <v/>
      </c>
      <c r="I8" s="10" t="s">
        <v>42</v>
      </c>
    </row>
    <row r="9" customFormat="false" ht="15" hidden="false" customHeight="false" outlineLevel="0" collapsed="false">
      <c r="A9" s="5" t="s">
        <v>65</v>
      </c>
      <c r="B9" s="5" t="s">
        <v>40</v>
      </c>
      <c r="C9" s="5" t="s">
        <v>66</v>
      </c>
      <c r="D9" s="9" t="n">
        <v>4</v>
      </c>
      <c r="E9" s="9" t="n">
        <v>4</v>
      </c>
      <c r="F9" s="10" t="n">
        <f aca="false">E9-D9</f>
        <v>0</v>
      </c>
      <c r="G9" s="11" t="n">
        <f aca="false">1-ABS(D9-E9)/4</f>
        <v>1</v>
      </c>
      <c r="H9" s="10" t="str">
        <f aca="false">IF(ABS(F9)&gt;=2,IF(F9&gt;0,"Candidate wants more","Role offers more"),"")</f>
        <v/>
      </c>
      <c r="I9" s="10" t="s">
        <v>42</v>
      </c>
    </row>
    <row r="10" customFormat="false" ht="15" hidden="false" customHeight="false" outlineLevel="0" collapsed="false">
      <c r="A10" s="5" t="s">
        <v>70</v>
      </c>
      <c r="B10" s="5" t="s">
        <v>71</v>
      </c>
      <c r="C10" s="5" t="s">
        <v>72</v>
      </c>
      <c r="D10" s="9" t="n">
        <v>3</v>
      </c>
      <c r="E10" s="9" t="n">
        <v>4</v>
      </c>
      <c r="F10" s="10" t="n">
        <f aca="false">E10-D10</f>
        <v>1</v>
      </c>
      <c r="G10" s="11" t="n">
        <f aca="false">1-ABS(D10-E10)/4</f>
        <v>0.75</v>
      </c>
      <c r="H10" s="10" t="str">
        <f aca="false">IF(ABS(F10)&gt;=2,IF(F10&gt;0,"Candidate wants more","Role offers more"),"")</f>
        <v/>
      </c>
      <c r="I10" s="10" t="s">
        <v>42</v>
      </c>
    </row>
    <row r="11" customFormat="false" ht="15" hidden="false" customHeight="false" outlineLevel="0" collapsed="false">
      <c r="A11" s="5" t="s">
        <v>76</v>
      </c>
      <c r="B11" s="5" t="s">
        <v>71</v>
      </c>
      <c r="C11" s="5" t="s">
        <v>77</v>
      </c>
      <c r="D11" s="9" t="n">
        <v>4</v>
      </c>
      <c r="E11" s="9" t="n">
        <v>4</v>
      </c>
      <c r="F11" s="10" t="n">
        <f aca="false">E11-D11</f>
        <v>0</v>
      </c>
      <c r="G11" s="11" t="n">
        <f aca="false">1-ABS(D11-E11)/4</f>
        <v>1</v>
      </c>
      <c r="H11" s="10" t="str">
        <f aca="false">IF(ABS(F11)&gt;=2,IF(F11&gt;0,"Candidate wants more","Role offers more"),"")</f>
        <v/>
      </c>
      <c r="I11" s="10" t="s">
        <v>42</v>
      </c>
    </row>
    <row r="12" customFormat="false" ht="15" hidden="false" customHeight="false" outlineLevel="0" collapsed="false">
      <c r="A12" s="5" t="s">
        <v>82</v>
      </c>
      <c r="B12" s="5" t="s">
        <v>71</v>
      </c>
      <c r="C12" s="5" t="s">
        <v>83</v>
      </c>
      <c r="D12" s="9" t="n">
        <v>5</v>
      </c>
      <c r="E12" s="9" t="n">
        <v>5</v>
      </c>
      <c r="F12" s="10" t="n">
        <f aca="false">E12-D12</f>
        <v>0</v>
      </c>
      <c r="G12" s="11" t="n">
        <f aca="false">1-ABS(D12-E12)/4</f>
        <v>1</v>
      </c>
      <c r="H12" s="10" t="str">
        <f aca="false">IF(ABS(F12)&gt;=2,IF(F12&gt;0,"Candidate wants more","Role offers more"),"")</f>
        <v/>
      </c>
      <c r="I12" s="10" t="s">
        <v>42</v>
      </c>
    </row>
    <row r="13" customFormat="false" ht="15" hidden="false" customHeight="false" outlineLevel="0" collapsed="false">
      <c r="A13" s="5" t="s">
        <v>87</v>
      </c>
      <c r="B13" s="5" t="s">
        <v>88</v>
      </c>
      <c r="C13" s="5" t="s">
        <v>89</v>
      </c>
      <c r="D13" s="9" t="n">
        <v>3</v>
      </c>
      <c r="E13" s="9" t="n">
        <v>4</v>
      </c>
      <c r="F13" s="10" t="n">
        <f aca="false">E13-D13</f>
        <v>1</v>
      </c>
      <c r="G13" s="11" t="n">
        <f aca="false">1-ABS(D13-E13)/4</f>
        <v>0.75</v>
      </c>
      <c r="H13" s="10" t="str">
        <f aca="false">IF(ABS(F13)&gt;=2,IF(F13&gt;0,"Candidate wants more","Role offers more"),"")</f>
        <v/>
      </c>
      <c r="I13" s="10" t="s">
        <v>42</v>
      </c>
    </row>
    <row r="14" customFormat="false" ht="15" hidden="false" customHeight="false" outlineLevel="0" collapsed="false">
      <c r="A14" s="5" t="s">
        <v>94</v>
      </c>
      <c r="B14" s="5" t="s">
        <v>88</v>
      </c>
      <c r="C14" s="5" t="s">
        <v>95</v>
      </c>
      <c r="D14" s="9" t="n">
        <v>4</v>
      </c>
      <c r="E14" s="9" t="n">
        <v>4</v>
      </c>
      <c r="F14" s="10" t="n">
        <f aca="false">E14-D14</f>
        <v>0</v>
      </c>
      <c r="G14" s="11" t="n">
        <f aca="false">1-ABS(D14-E14)/4</f>
        <v>1</v>
      </c>
      <c r="H14" s="10" t="str">
        <f aca="false">IF(ABS(F14)&gt;=2,IF(F14&gt;0,"Candidate wants more","Role offers more"),"")</f>
        <v/>
      </c>
      <c r="I14" s="10" t="s">
        <v>42</v>
      </c>
    </row>
    <row r="15" customFormat="false" ht="15" hidden="false" customHeight="false" outlineLevel="0" collapsed="false">
      <c r="A15" s="5" t="s">
        <v>100</v>
      </c>
      <c r="B15" s="5" t="s">
        <v>88</v>
      </c>
      <c r="C15" s="5" t="s">
        <v>101</v>
      </c>
      <c r="D15" s="9" t="n">
        <v>2</v>
      </c>
      <c r="E15" s="9" t="n">
        <v>4</v>
      </c>
      <c r="F15" s="10" t="n">
        <f aca="false">E15-D15</f>
        <v>2</v>
      </c>
      <c r="G15" s="11" t="n">
        <f aca="false">1-ABS(D15-E15)/4</f>
        <v>0.5</v>
      </c>
      <c r="H15" s="10" t="str">
        <f aca="false">IF(ABS(F15)&gt;=2,IF(F15&gt;0,"Candidate wants more","Role offers more"),"")</f>
        <v>Candidate wants more</v>
      </c>
      <c r="I15" s="10" t="s">
        <v>42</v>
      </c>
    </row>
    <row r="16" customFormat="false" ht="15" hidden="false" customHeight="false" outlineLevel="0" collapsed="false">
      <c r="A16" s="5" t="s">
        <v>106</v>
      </c>
      <c r="B16" s="5" t="s">
        <v>88</v>
      </c>
      <c r="C16" s="5" t="s">
        <v>107</v>
      </c>
      <c r="D16" s="9" t="n">
        <v>1</v>
      </c>
      <c r="E16" s="9" t="n">
        <v>3</v>
      </c>
      <c r="F16" s="10" t="n">
        <f aca="false">E16-D16</f>
        <v>2</v>
      </c>
      <c r="G16" s="11" t="n">
        <f aca="false">1-ABS(D16-E16)/4</f>
        <v>0.5</v>
      </c>
      <c r="H16" s="10" t="str">
        <f aca="false">IF(ABS(F16)&gt;=2,IF(F16&gt;0,"Candidate wants more","Role offers more"),"")</f>
        <v>Candidate wants more</v>
      </c>
      <c r="I16" s="10" t="s">
        <v>42</v>
      </c>
    </row>
    <row r="17" customFormat="false" ht="15" hidden="false" customHeight="false" outlineLevel="0" collapsed="false">
      <c r="A17" s="5" t="s">
        <v>112</v>
      </c>
      <c r="B17" s="5" t="s">
        <v>88</v>
      </c>
      <c r="C17" s="5" t="s">
        <v>113</v>
      </c>
      <c r="D17" s="9" t="n">
        <v>3</v>
      </c>
      <c r="E17" s="9" t="n">
        <v>4</v>
      </c>
      <c r="F17" s="10" t="n">
        <f aca="false">E17-D17</f>
        <v>1</v>
      </c>
      <c r="G17" s="11" t="n">
        <f aca="false">1-ABS(D17-E17)/4</f>
        <v>0.75</v>
      </c>
      <c r="H17" s="10" t="str">
        <f aca="false">IF(ABS(F17)&gt;=2,IF(F17&gt;0,"Candidate wants more","Role offers more"),"")</f>
        <v/>
      </c>
      <c r="I17" s="10" t="s">
        <v>42</v>
      </c>
    </row>
    <row r="18" customFormat="false" ht="15" hidden="false" customHeight="false" outlineLevel="0" collapsed="false">
      <c r="A18" s="5" t="s">
        <v>118</v>
      </c>
      <c r="B18" s="5" t="s">
        <v>88</v>
      </c>
      <c r="C18" s="5" t="s">
        <v>119</v>
      </c>
      <c r="D18" s="9" t="n">
        <v>3</v>
      </c>
      <c r="E18" s="9" t="n">
        <v>4</v>
      </c>
      <c r="F18" s="10" t="n">
        <f aca="false">E18-D18</f>
        <v>1</v>
      </c>
      <c r="G18" s="11" t="n">
        <f aca="false">1-ABS(D18-E18)/4</f>
        <v>0.75</v>
      </c>
      <c r="H18" s="10" t="str">
        <f aca="false">IF(ABS(F18)&gt;=2,IF(F18&gt;0,"Candidate wants more","Role offers more"),"")</f>
        <v/>
      </c>
      <c r="I18" s="10" t="s">
        <v>42</v>
      </c>
    </row>
    <row r="19" customFormat="false" ht="15" hidden="false" customHeight="false" outlineLevel="0" collapsed="false">
      <c r="A19" s="5" t="s">
        <v>123</v>
      </c>
      <c r="B19" s="5" t="s">
        <v>124</v>
      </c>
      <c r="C19" s="5" t="s">
        <v>125</v>
      </c>
      <c r="D19" s="9" t="n">
        <v>3</v>
      </c>
      <c r="E19" s="9" t="n">
        <v>2</v>
      </c>
      <c r="F19" s="10" t="n">
        <f aca="false">E19-D19</f>
        <v>-1</v>
      </c>
      <c r="G19" s="11" t="n">
        <f aca="false">1-ABS(D19-E19)/4</f>
        <v>0.75</v>
      </c>
      <c r="H19" s="10" t="str">
        <f aca="false">IF(ABS(F19)&gt;=2,IF(F19&gt;0,"Candidate wants more","Role offers more"),"")</f>
        <v/>
      </c>
      <c r="I19" s="10" t="s">
        <v>42</v>
      </c>
    </row>
    <row r="20" customFormat="false" ht="15" hidden="false" customHeight="false" outlineLevel="0" collapsed="false">
      <c r="A20" s="5" t="s">
        <v>131</v>
      </c>
      <c r="B20" s="5" t="s">
        <v>124</v>
      </c>
      <c r="C20" s="5" t="s">
        <v>132</v>
      </c>
      <c r="D20" s="9" t="n">
        <v>5</v>
      </c>
      <c r="E20" s="9" t="n">
        <v>5</v>
      </c>
      <c r="F20" s="10" t="n">
        <f aca="false">E20-D20</f>
        <v>0</v>
      </c>
      <c r="G20" s="11" t="n">
        <f aca="false">1-ABS(D20-E20)/4</f>
        <v>1</v>
      </c>
      <c r="H20" s="10" t="str">
        <f aca="false">IF(ABS(F20)&gt;=2,IF(F20&gt;0,"Candidate wants more","Role offers more"),"")</f>
        <v/>
      </c>
      <c r="I20" s="10" t="s">
        <v>42</v>
      </c>
    </row>
    <row r="21" customFormat="false" ht="23.85" hidden="false" customHeight="false" outlineLevel="0" collapsed="false">
      <c r="A21" s="5" t="s">
        <v>136</v>
      </c>
      <c r="B21" s="5" t="s">
        <v>124</v>
      </c>
      <c r="C21" s="5" t="s">
        <v>137</v>
      </c>
      <c r="D21" s="9" t="n">
        <v>2</v>
      </c>
      <c r="E21" s="9" t="n">
        <v>3</v>
      </c>
      <c r="F21" s="10" t="n">
        <f aca="false">E21-D21</f>
        <v>1</v>
      </c>
      <c r="G21" s="11" t="n">
        <f aca="false">1-ABS(D21-E21)/4</f>
        <v>0.75</v>
      </c>
      <c r="H21" s="10" t="str">
        <f aca="false">IF(ABS(F21)&gt;=2,IF(F21&gt;0,"Candidate wants more","Role offers more"),"")</f>
        <v/>
      </c>
      <c r="I21" s="10" t="s">
        <v>42</v>
      </c>
    </row>
    <row r="22" customFormat="false" ht="15" hidden="false" customHeight="false" outlineLevel="0" collapsed="false">
      <c r="A22" s="5" t="s">
        <v>141</v>
      </c>
      <c r="B22" s="5" t="s">
        <v>124</v>
      </c>
      <c r="C22" s="5" t="s">
        <v>142</v>
      </c>
      <c r="D22" s="9" t="n">
        <v>4</v>
      </c>
      <c r="E22" s="9" t="n">
        <v>3</v>
      </c>
      <c r="F22" s="10" t="n">
        <f aca="false">E22-D22</f>
        <v>-1</v>
      </c>
      <c r="G22" s="11" t="n">
        <f aca="false">1-ABS(D22-E22)/4</f>
        <v>0.75</v>
      </c>
      <c r="H22" s="10" t="str">
        <f aca="false">IF(ABS(F22)&gt;=2,IF(F22&gt;0,"Candidate wants more","Role offers more"),"")</f>
        <v/>
      </c>
      <c r="I22" s="10" t="s">
        <v>42</v>
      </c>
    </row>
    <row r="23" customFormat="false" ht="15" hidden="false" customHeight="false" outlineLevel="0" collapsed="false">
      <c r="A23" s="5" t="s">
        <v>146</v>
      </c>
      <c r="B23" s="5" t="s">
        <v>124</v>
      </c>
      <c r="C23" s="5" t="s">
        <v>147</v>
      </c>
      <c r="D23" s="9" t="n">
        <v>2</v>
      </c>
      <c r="E23" s="9" t="n">
        <v>2</v>
      </c>
      <c r="F23" s="10" t="n">
        <f aca="false">E23-D23</f>
        <v>0</v>
      </c>
      <c r="G23" s="11" t="n">
        <f aca="false">IF(D23=E23,1,IF(ABS(D23-E23)=1,0.5,0))</f>
        <v>1</v>
      </c>
      <c r="H23" s="10" t="str">
        <f aca="false">IF(ABS(F23)&gt;=2,IF(F23&gt;0,"Candidate wants more","Role offers more"),"")</f>
        <v/>
      </c>
      <c r="I23" s="10" t="s">
        <v>173</v>
      </c>
    </row>
    <row r="24" customFormat="false" ht="15" hidden="false" customHeight="false" outlineLevel="0" collapsed="false">
      <c r="A24" s="5" t="s">
        <v>155</v>
      </c>
      <c r="B24" s="5" t="s">
        <v>124</v>
      </c>
      <c r="C24" s="5" t="s">
        <v>156</v>
      </c>
      <c r="D24" s="9" t="n">
        <v>3</v>
      </c>
      <c r="E24" s="9" t="n">
        <v>3</v>
      </c>
      <c r="F24" s="10" t="n">
        <f aca="false">E24-D24</f>
        <v>0</v>
      </c>
      <c r="G24" s="11" t="n">
        <f aca="false">IF(D24=E24,1,IF(ABS(D24-E24)=1,0.5,0))</f>
        <v>1</v>
      </c>
      <c r="H24" s="10" t="str">
        <f aca="false">IF(ABS(F24)&gt;=2,IF(F24&gt;0,"Candidate wants more","Role offers more"),"")</f>
        <v/>
      </c>
      <c r="I24" s="10" t="s">
        <v>173</v>
      </c>
    </row>
    <row r="27" customFormat="false" ht="15" hidden="false" customHeight="false" outlineLevel="0" collapsed="false">
      <c r="A27" s="6" t="s">
        <v>174</v>
      </c>
    </row>
    <row r="28" customFormat="false" ht="26.85" hidden="false" customHeight="false" outlineLevel="0" collapsed="false">
      <c r="A28" s="4" t="s">
        <v>29</v>
      </c>
      <c r="B28" s="4" t="s">
        <v>175</v>
      </c>
      <c r="C28" s="4" t="s">
        <v>176</v>
      </c>
      <c r="D28" s="4" t="s">
        <v>177</v>
      </c>
      <c r="E28" s="4" t="s">
        <v>178</v>
      </c>
      <c r="F28" s="4" t="s">
        <v>179</v>
      </c>
    </row>
    <row r="29" customFormat="false" ht="15" hidden="false" customHeight="false" outlineLevel="0" collapsed="false">
      <c r="A29" s="5" t="s">
        <v>40</v>
      </c>
      <c r="B29" s="10" t="n">
        <f aca="false">COUNTIF($B$5:$B$24,A29)</f>
        <v>5</v>
      </c>
      <c r="C29" s="11" t="n">
        <f aca="false">IF(B29=0,0,SUMIF($B$5:$B$24,A29,$G$5:$G$24)/B29)</f>
        <v>0.85</v>
      </c>
      <c r="D29" s="12" t="n">
        <v>0.35</v>
      </c>
      <c r="E29" s="13" t="n">
        <f aca="false">C29*D29</f>
        <v>0.2975</v>
      </c>
      <c r="F29" s="10" t="n">
        <f aca="false">SUMPRODUCT(($B$5:$B$24=A29)*($H$5:$H$24&lt;&gt;""))</f>
        <v>0</v>
      </c>
    </row>
    <row r="30" customFormat="false" ht="15" hidden="false" customHeight="false" outlineLevel="0" collapsed="false">
      <c r="A30" s="5" t="s">
        <v>71</v>
      </c>
      <c r="B30" s="10" t="n">
        <f aca="false">COUNTIF($B$5:$B$24,A30)</f>
        <v>3</v>
      </c>
      <c r="C30" s="11" t="n">
        <f aca="false">IF(B30=0,0,SUMIF($B$5:$B$24,A30,$G$5:$G$24)/B30)</f>
        <v>0.916666666666667</v>
      </c>
      <c r="D30" s="12" t="n">
        <v>0.15</v>
      </c>
      <c r="E30" s="13" t="n">
        <f aca="false">C30*D30</f>
        <v>0.1375</v>
      </c>
      <c r="F30" s="10" t="n">
        <f aca="false">SUMPRODUCT(($B$5:$B$24=A30)*($H$5:$H$24&lt;&gt;""))</f>
        <v>0</v>
      </c>
    </row>
    <row r="31" customFormat="false" ht="15" hidden="false" customHeight="false" outlineLevel="0" collapsed="false">
      <c r="A31" s="5" t="s">
        <v>88</v>
      </c>
      <c r="B31" s="10" t="n">
        <f aca="false">COUNTIF($B$5:$B$24,A31)</f>
        <v>6</v>
      </c>
      <c r="C31" s="11" t="n">
        <f aca="false">IF(B31=0,0,SUMIF($B$5:$B$24,A31,$G$5:$G$24)/B31)</f>
        <v>0.708333333333333</v>
      </c>
      <c r="D31" s="12" t="n">
        <v>0.3</v>
      </c>
      <c r="E31" s="13" t="n">
        <f aca="false">C31*D31</f>
        <v>0.2125</v>
      </c>
      <c r="F31" s="10" t="n">
        <f aca="false">SUMPRODUCT(($B$5:$B$24=A31)*($H$5:$H$24&lt;&gt;""))</f>
        <v>2</v>
      </c>
    </row>
    <row r="32" customFormat="false" ht="15" hidden="false" customHeight="false" outlineLevel="0" collapsed="false">
      <c r="A32" s="5" t="s">
        <v>124</v>
      </c>
      <c r="B32" s="10" t="n">
        <f aca="false">COUNTIF($B$5:$B$24,A32)</f>
        <v>6</v>
      </c>
      <c r="C32" s="11" t="n">
        <f aca="false">IF(B32=0,0,SUMIF($B$5:$B$24,A32,$G$5:$G$24)/B32)</f>
        <v>0.875</v>
      </c>
      <c r="D32" s="12" t="n">
        <v>0.2</v>
      </c>
      <c r="E32" s="13" t="n">
        <f aca="false">C32*D32</f>
        <v>0.175</v>
      </c>
      <c r="F32" s="10" t="n">
        <f aca="false">SUMPRODUCT(($B$5:$B$24=A32)*($H$5:$H$24&lt;&gt;""))</f>
        <v>0</v>
      </c>
    </row>
    <row r="33" customFormat="false" ht="15" hidden="false" customHeight="false" outlineLevel="0" collapsed="false">
      <c r="A33" s="6" t="s">
        <v>180</v>
      </c>
      <c r="C33" s="14"/>
      <c r="D33" s="15" t="n">
        <f aca="false">SUM(D29:D32)</f>
        <v>1</v>
      </c>
    </row>
    <row r="34" customFormat="false" ht="15" hidden="false" customHeight="false" outlineLevel="0" collapsed="false">
      <c r="A34" s="6" t="s">
        <v>181</v>
      </c>
      <c r="C34" s="16" t="n">
        <f aca="false">IF(D33=0,0,SUM(E29:E32)/D33)</f>
        <v>0.8225</v>
      </c>
      <c r="D34" s="14"/>
    </row>
    <row r="35" customFormat="false" ht="15" hidden="false" customHeight="false" outlineLevel="0" collapsed="false">
      <c r="A35" s="6" t="s">
        <v>182</v>
      </c>
      <c r="C35" s="17" t="str">
        <f aca="false">IF(C34&gt;=Rubric!$A$16,Rubric!$B$16,IF(C34&gt;=Rubric!$A$17,Rubric!$B$17,IF(C34&gt;=Rubric!$A$18,Rubric!$B$18,Rubric!$B$19)))</f>
        <v>Good fit</v>
      </c>
      <c r="D35" s="14"/>
    </row>
    <row r="36" customFormat="false" ht="15" hidden="false" customHeight="false" outlineLevel="0" collapsed="false">
      <c r="A36" s="6" t="s">
        <v>183</v>
      </c>
      <c r="C36" s="15" t="n">
        <f aca="false">AVERAGE(G5:G24)</f>
        <v>0.825</v>
      </c>
      <c r="D36" s="14"/>
    </row>
    <row r="37" customFormat="false" ht="15" hidden="false" customHeight="false" outlineLevel="0" collapsed="false">
      <c r="A37" s="6" t="s">
        <v>184</v>
      </c>
      <c r="C37" s="14" t="n">
        <f aca="false">SUMPRODUCT((H5:H24&lt;&gt;"")*1)</f>
        <v>2</v>
      </c>
      <c r="D37" s="14"/>
    </row>
    <row r="39" customFormat="false" ht="15" hidden="false" customHeight="false" outlineLevel="0" collapsed="false">
      <c r="A39" s="8" t="s">
        <v>185</v>
      </c>
    </row>
  </sheetData>
  <dataValidations count="2">
    <dataValidation allowBlank="false" error="Enter 1–5" errorStyle="stop" errorTitle="Invalid" operator="between" showDropDown="false" showErrorMessage="true" showInputMessage="false" sqref="D5:E22" type="whole">
      <formula1>1</formula1>
      <formula2>5</formula2>
    </dataValidation>
    <dataValidation allowBlank="false" error="Enter 1–3" errorStyle="stop" errorTitle="Invalid" operator="between" showDropDown="false" showErrorMessage="true" showInputMessage="false" sqref="D23:E24" type="whole">
      <formula1>1</formula1>
      <formula2>3</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4" min="3" style="0" width="50"/>
    <col collapsed="false" customWidth="true" hidden="false" outlineLevel="0" max="5" min="5" style="0" width="55"/>
  </cols>
  <sheetData>
    <row r="1" customFormat="false" ht="17.35" hidden="false" customHeight="false" outlineLevel="0" collapsed="false">
      <c r="A1" s="1" t="s">
        <v>186</v>
      </c>
    </row>
    <row r="3" customFormat="false" ht="15" hidden="false" customHeight="false" outlineLevel="0" collapsed="false">
      <c r="A3" s="6" t="s">
        <v>187</v>
      </c>
    </row>
    <row r="4" customFormat="false" ht="30" hidden="false" customHeight="true" outlineLevel="0" collapsed="false">
      <c r="A4" s="18" t="s">
        <v>188</v>
      </c>
      <c r="B4" s="18"/>
      <c r="C4" s="18"/>
      <c r="D4" s="18"/>
      <c r="E4" s="18"/>
    </row>
    <row r="5" customFormat="false" ht="30" hidden="false" customHeight="true" outlineLevel="0" collapsed="false">
      <c r="A5" s="18" t="s">
        <v>189</v>
      </c>
      <c r="B5" s="18"/>
      <c r="C5" s="18"/>
      <c r="D5" s="18"/>
      <c r="E5" s="18"/>
    </row>
    <row r="6" customFormat="false" ht="30" hidden="false" customHeight="true" outlineLevel="0" collapsed="false">
      <c r="A6" s="18" t="s">
        <v>190</v>
      </c>
      <c r="B6" s="18"/>
      <c r="C6" s="18"/>
      <c r="D6" s="18"/>
      <c r="E6" s="18"/>
    </row>
    <row r="7" customFormat="false" ht="30" hidden="false" customHeight="true" outlineLevel="0" collapsed="false">
      <c r="A7" s="18" t="s">
        <v>191</v>
      </c>
      <c r="B7" s="18"/>
      <c r="C7" s="18"/>
      <c r="D7" s="18"/>
      <c r="E7" s="18"/>
    </row>
    <row r="8" customFormat="false" ht="30" hidden="false" customHeight="true" outlineLevel="0" collapsed="false">
      <c r="A8" s="18" t="s">
        <v>192</v>
      </c>
      <c r="B8" s="18"/>
      <c r="C8" s="18"/>
      <c r="D8" s="18"/>
      <c r="E8" s="18"/>
    </row>
    <row r="9" customFormat="false" ht="30" hidden="false" customHeight="true" outlineLevel="0" collapsed="false">
      <c r="A9" s="18" t="s">
        <v>193</v>
      </c>
      <c r="B9" s="18"/>
      <c r="C9" s="18"/>
      <c r="D9" s="18"/>
      <c r="E9" s="18"/>
    </row>
    <row r="11" customFormat="false" ht="15" hidden="false" customHeight="false" outlineLevel="0" collapsed="false">
      <c r="A11" s="6" t="s">
        <v>194</v>
      </c>
    </row>
    <row r="12" customFormat="false" ht="15" hidden="false" customHeight="false" outlineLevel="0" collapsed="false">
      <c r="A12" s="7" t="s">
        <v>181</v>
      </c>
      <c r="B12" s="19" t="n">
        <f aca="false">'Alignment calculator'!$C$34</f>
        <v>0.8225</v>
      </c>
    </row>
    <row r="13" customFormat="false" ht="15" hidden="false" customHeight="false" outlineLevel="0" collapsed="false">
      <c r="A13" s="7" t="s">
        <v>182</v>
      </c>
      <c r="B13" s="6" t="str">
        <f aca="false">'Alignment calculator'!$C$35</f>
        <v>Good fit</v>
      </c>
    </row>
    <row r="15" customFormat="false" ht="15" hidden="false" customHeight="false" outlineLevel="0" collapsed="false">
      <c r="A15" s="4" t="s">
        <v>195</v>
      </c>
      <c r="B15" s="4" t="s">
        <v>182</v>
      </c>
      <c r="C15" s="4" t="s">
        <v>196</v>
      </c>
      <c r="D15" s="4" t="s">
        <v>197</v>
      </c>
      <c r="E15" s="4" t="s">
        <v>198</v>
      </c>
    </row>
    <row r="16" customFormat="false" ht="23.85" hidden="false" customHeight="false" outlineLevel="0" collapsed="false">
      <c r="A16" s="20" t="n">
        <v>0.85</v>
      </c>
      <c r="B16" s="5" t="s">
        <v>199</v>
      </c>
      <c r="C16" s="5" t="s">
        <v>200</v>
      </c>
      <c r="D16" s="5" t="s">
        <v>201</v>
      </c>
      <c r="E16" s="5" t="s">
        <v>202</v>
      </c>
    </row>
    <row r="17" customFormat="false" ht="23.85" hidden="false" customHeight="false" outlineLevel="0" collapsed="false">
      <c r="A17" s="20" t="n">
        <v>0.7</v>
      </c>
      <c r="B17" s="5" t="s">
        <v>203</v>
      </c>
      <c r="C17" s="5" t="s">
        <v>204</v>
      </c>
      <c r="D17" s="5" t="s">
        <v>205</v>
      </c>
      <c r="E17" s="5" t="s">
        <v>206</v>
      </c>
    </row>
    <row r="18" customFormat="false" ht="35.05" hidden="false" customHeight="false" outlineLevel="0" collapsed="false">
      <c r="A18" s="20" t="n">
        <v>0.55</v>
      </c>
      <c r="B18" s="5" t="s">
        <v>207</v>
      </c>
      <c r="C18" s="5" t="s">
        <v>208</v>
      </c>
      <c r="D18" s="5" t="s">
        <v>209</v>
      </c>
      <c r="E18" s="5" t="s">
        <v>210</v>
      </c>
    </row>
    <row r="19" customFormat="false" ht="23.85" hidden="false" customHeight="false" outlineLevel="0" collapsed="false">
      <c r="A19" s="20" t="n">
        <v>0</v>
      </c>
      <c r="B19" s="5" t="s">
        <v>211</v>
      </c>
      <c r="C19" s="5" t="s">
        <v>212</v>
      </c>
      <c r="D19" s="5" t="s">
        <v>213</v>
      </c>
      <c r="E19" s="5" t="s">
        <v>214</v>
      </c>
    </row>
    <row r="22" customFormat="false" ht="15" hidden="false" customHeight="false" outlineLevel="0" collapsed="false">
      <c r="A22" s="6" t="s">
        <v>215</v>
      </c>
    </row>
    <row r="23" customFormat="false" ht="15" hidden="false" customHeight="false" outlineLevel="0" collapsed="false">
      <c r="A23" s="4" t="s">
        <v>29</v>
      </c>
      <c r="B23" s="4" t="s">
        <v>175</v>
      </c>
      <c r="C23" s="4" t="s">
        <v>216</v>
      </c>
      <c r="D23" s="4" t="s">
        <v>217</v>
      </c>
      <c r="E23" s="4" t="s">
        <v>218</v>
      </c>
    </row>
    <row r="24" customFormat="false" ht="35.05" hidden="false" customHeight="false" outlineLevel="0" collapsed="false">
      <c r="A24" s="5" t="s">
        <v>40</v>
      </c>
      <c r="B24" s="5" t="s">
        <v>219</v>
      </c>
      <c r="C24" s="5" t="s">
        <v>220</v>
      </c>
      <c r="D24" s="5" t="s">
        <v>221</v>
      </c>
      <c r="E24" s="5" t="s">
        <v>222</v>
      </c>
    </row>
    <row r="25" customFormat="false" ht="35.05" hidden="false" customHeight="false" outlineLevel="0" collapsed="false">
      <c r="A25" s="5" t="s">
        <v>71</v>
      </c>
      <c r="B25" s="5" t="s">
        <v>223</v>
      </c>
      <c r="C25" s="5" t="s">
        <v>224</v>
      </c>
      <c r="D25" s="5" t="s">
        <v>225</v>
      </c>
      <c r="E25" s="5" t="s">
        <v>226</v>
      </c>
    </row>
    <row r="26" customFormat="false" ht="35.05" hidden="false" customHeight="false" outlineLevel="0" collapsed="false">
      <c r="A26" s="5" t="s">
        <v>88</v>
      </c>
      <c r="B26" s="5" t="s">
        <v>227</v>
      </c>
      <c r="C26" s="5" t="s">
        <v>228</v>
      </c>
      <c r="D26" s="5" t="s">
        <v>229</v>
      </c>
      <c r="E26" s="5" t="s">
        <v>230</v>
      </c>
    </row>
    <row r="27" customFormat="false" ht="23.85" hidden="false" customHeight="false" outlineLevel="0" collapsed="false">
      <c r="A27" s="5" t="s">
        <v>124</v>
      </c>
      <c r="B27" s="5" t="s">
        <v>231</v>
      </c>
      <c r="C27" s="5" t="s">
        <v>232</v>
      </c>
      <c r="D27" s="5" t="s">
        <v>233</v>
      </c>
      <c r="E27" s="5" t="s">
        <v>234</v>
      </c>
    </row>
    <row r="29" customFormat="false" ht="15" hidden="false" customHeight="false" outlineLevel="0" collapsed="false">
      <c r="A29" s="8" t="s">
        <v>235</v>
      </c>
    </row>
  </sheetData>
  <mergeCells count="6">
    <mergeCell ref="A4:E4"/>
    <mergeCell ref="A5:E5"/>
    <mergeCell ref="A6:E6"/>
    <mergeCell ref="A7:E7"/>
    <mergeCell ref="A8:E8"/>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28"/>
    <col collapsed="false" customWidth="true" hidden="false" outlineLevel="0" max="3" min="3" style="0" width="40"/>
    <col collapsed="false" customWidth="true" hidden="false" outlineLevel="0" max="4" min="4" style="0" width="55"/>
    <col collapsed="false" customWidth="true" hidden="false" outlineLevel="0" max="5" min="5" style="0" width="50"/>
  </cols>
  <sheetData>
    <row r="1" customFormat="false" ht="15" hidden="false" customHeight="false" outlineLevel="0" collapsed="false">
      <c r="A1" s="4" t="s">
        <v>236</v>
      </c>
      <c r="B1" s="4" t="s">
        <v>237</v>
      </c>
      <c r="C1" s="4" t="s">
        <v>238</v>
      </c>
      <c r="D1" s="4" t="s">
        <v>239</v>
      </c>
      <c r="E1" s="4" t="s">
        <v>240</v>
      </c>
    </row>
    <row r="2" customFormat="false" ht="35.05" hidden="false" customHeight="false" outlineLevel="0" collapsed="false">
      <c r="A2" s="5" t="s">
        <v>241</v>
      </c>
      <c r="B2" s="5" t="s">
        <v>242</v>
      </c>
      <c r="C2" s="5" t="s">
        <v>243</v>
      </c>
      <c r="D2" s="5" t="s">
        <v>244</v>
      </c>
      <c r="E2" s="5" t="s">
        <v>245</v>
      </c>
    </row>
    <row r="3" customFormat="false" ht="23.85" hidden="false" customHeight="false" outlineLevel="0" collapsed="false">
      <c r="A3" s="5" t="s">
        <v>246</v>
      </c>
      <c r="B3" s="5" t="s">
        <v>247</v>
      </c>
      <c r="C3" s="5" t="s">
        <v>248</v>
      </c>
      <c r="D3" s="5" t="s">
        <v>249</v>
      </c>
      <c r="E3" s="5" t="s">
        <v>250</v>
      </c>
    </row>
    <row r="4" customFormat="false" ht="23.85" hidden="false" customHeight="false" outlineLevel="0" collapsed="false">
      <c r="A4" s="5" t="s">
        <v>251</v>
      </c>
      <c r="B4" s="5" t="s">
        <v>252</v>
      </c>
      <c r="C4" s="5" t="s">
        <v>253</v>
      </c>
      <c r="D4" s="5" t="s">
        <v>254</v>
      </c>
      <c r="E4" s="5" t="s">
        <v>255</v>
      </c>
    </row>
    <row r="5" customFormat="false" ht="23.85" hidden="false" customHeight="false" outlineLevel="0" collapsed="false">
      <c r="A5" s="5" t="s">
        <v>256</v>
      </c>
      <c r="B5" s="5" t="s">
        <v>257</v>
      </c>
      <c r="C5" s="5" t="s">
        <v>258</v>
      </c>
      <c r="D5" s="5" t="s">
        <v>259</v>
      </c>
      <c r="E5" s="5" t="s">
        <v>260</v>
      </c>
    </row>
    <row r="6" customFormat="false" ht="15" hidden="false" customHeight="false" outlineLevel="0" collapsed="false">
      <c r="A6" s="5" t="s">
        <v>261</v>
      </c>
      <c r="B6" s="5" t="s">
        <v>262</v>
      </c>
      <c r="C6" s="5" t="s">
        <v>263</v>
      </c>
      <c r="D6" s="5" t="s">
        <v>264</v>
      </c>
      <c r="E6" s="5" t="s">
        <v>265</v>
      </c>
    </row>
    <row r="7" customFormat="false" ht="23.85" hidden="false" customHeight="false" outlineLevel="0" collapsed="false">
      <c r="A7" s="5" t="s">
        <v>266</v>
      </c>
      <c r="B7" s="5" t="s">
        <v>267</v>
      </c>
      <c r="C7" s="5" t="s">
        <v>268</v>
      </c>
      <c r="D7" s="5" t="s">
        <v>269</v>
      </c>
      <c r="E7" s="5" t="s">
        <v>270</v>
      </c>
    </row>
    <row r="8" customFormat="false" ht="23.85" hidden="false" customHeight="false" outlineLevel="0" collapsed="false">
      <c r="A8" s="5" t="s">
        <v>271</v>
      </c>
      <c r="B8" s="5" t="s">
        <v>272</v>
      </c>
      <c r="C8" s="5" t="s">
        <v>273</v>
      </c>
      <c r="D8" s="5" t="s">
        <v>274</v>
      </c>
      <c r="E8" s="5" t="s">
        <v>275</v>
      </c>
    </row>
    <row r="9" customFormat="false" ht="23.85" hidden="false" customHeight="false" outlineLevel="0" collapsed="false">
      <c r="A9" s="5" t="s">
        <v>276</v>
      </c>
      <c r="B9" s="5" t="s">
        <v>277</v>
      </c>
      <c r="C9" s="5" t="s">
        <v>278</v>
      </c>
      <c r="D9" s="5" t="s">
        <v>279</v>
      </c>
      <c r="E9" s="5" t="s">
        <v>280</v>
      </c>
    </row>
    <row r="10" customFormat="false" ht="23.85" hidden="false" customHeight="false" outlineLevel="0" collapsed="false">
      <c r="A10" s="5" t="s">
        <v>281</v>
      </c>
      <c r="B10" s="5" t="s">
        <v>282</v>
      </c>
      <c r="C10" s="5" t="s">
        <v>248</v>
      </c>
      <c r="D10" s="5" t="s">
        <v>283</v>
      </c>
      <c r="E10" s="5" t="s">
        <v>284</v>
      </c>
    </row>
    <row r="12" customFormat="false" ht="15" hidden="false" customHeight="false" outlineLevel="0" collapsed="false">
      <c r="A12" s="8" t="s">
        <v>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2026-09-15T05:06:46Z</dcterms:created>
  <dc:creator>openpyxl</dc:creator>
  <dc:description/>
  <dc:language>en-US</dc:language>
  <cp:lastModifiedBy/>
  <dcterms:modified xsi:type="dcterms:W3CDTF">2026-09-15T05:06:46Z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
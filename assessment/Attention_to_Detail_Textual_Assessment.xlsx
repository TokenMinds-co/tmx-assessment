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Questions" sheetId="2" state="visible" r:id="rId4"/>
    <sheet name="Key verification" sheetId="3" state="visible" r:id="rId5"/>
    <sheet name="Rubric" sheetId="4" state="visible" r:id="rId6"/>
    <sheet name="Open data 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<sst xmlns="http://schemas.openxmlformats.org/spreadsheetml/2006/main" count="429" uniqueCount="282">
  <si>
    <t xml:space="preserve">Attention to Detail (Textual) – Skills Assessment</t>
  </si>
  <si>
    <t xml:space="preserve">Test name</t>
  </si>
  <si>
    <t xml:space="preserve">Attention to Detail (Textual)</t>
  </si>
  <si>
    <t xml:space="preserve">Duration</t>
  </si>
  <si>
    <t xml:space="preserve">12 minutes</t>
  </si>
  <si>
    <t xml:space="preserve">Number of questions</t>
  </si>
  <si>
    <t xml:space="preserve">Question format</t>
  </si>
  <si>
    <t xml:space="preserve">Multiple choice (single answer) – matching records and snippets, counting differences between two texts, spotting contradictions between sentences</t>
  </si>
  <si>
    <t xml:space="preserve">Level</t>
  </si>
  <si>
    <t xml:space="preserve">Intermediate</t>
  </si>
  <si>
    <t xml:space="preserve">Language of instructions</t>
  </si>
  <si>
    <t xml:space="preserve">English (localisable – when translating, re-verify every key because word counts and spellings change)</t>
  </si>
  <si>
    <t xml:space="preserve">Overview</t>
  </si>
  <si>
    <t xml:space="preserve">This Attention to Detail (Textual) test evaluates candidates' attention to textual detail while processing information. It helps identify candidates who can thoroughly and carefully handle intricate processes.</t>
  </si>
  <si>
    <t xml:space="preserve">Skills covered</t>
  </si>
  <si>
    <t xml:space="preserve">1. Matching information (Q1–Q5) – identifying identical vs. near-identical text, codes, records and counts
2. Comparing statements for differences (Q6–Q10) – counting word, number and punctuation differences between two versions of a text
3. Checking the consistency of information (Q11–Q15) – spotting facts or details in one sentence that contradict another</t>
  </si>
  <si>
    <t xml:space="preserve">Relevant for</t>
  </si>
  <si>
    <t xml:space="preserve">Any role that requires attention to detail – customer care, office assistant, administrator, bookkeeper, data entry, QA, compliance – and as a general focus check for entry-level roles.</t>
  </si>
  <si>
    <t xml:space="preserve">Description</t>
  </si>
  <si>
    <t xml:space="preserve">Noticing little things can have a big impact. From grammatical mistakes that give an impression of unprofessionalism to mistakes in numbers and data that cause serious errors, paying attention to detail is an important skill for every professional.
This test evaluates candidates' ability to consider details by presenting tasks that require them to match information, compare statements and check the consistency of information. It provides insight into candidates' alertness by asking them to identify errors, omissions or inconsistencies in the information presented.
Candidates who score well can process textual information and arrive at the correct answer without losing sight of small details. Errors are of the kind that occur in real administrative work: transposed digits, changed units, a missing apostrophe, a day that does not match its date, a total that does not match its parts.</t>
  </si>
  <si>
    <t xml:space="preserve">Question distribution</t>
  </si>
  <si>
    <t xml:space="preserve">5 questions per skill area. Difference-count items use a spread of answers (0, 1, 2, 3) so candidates cannot assume every pair differs.</t>
  </si>
  <si>
    <t xml:space="preserve">Timing guidance</t>
  </si>
  <si>
    <t xml:space="preserve">12 min ÷ 15 = 48 seconds per question. Consistency items (Q11–Q15) take longest; difference items are quick if the candidate is systematic.</t>
  </si>
  <si>
    <t xml:space="preserve">Scoring</t>
  </si>
  <si>
    <t xml:space="preserve">1 point per correct answer, no negative marking. Score = correct ÷ 15. See 'Rubric'.</t>
  </si>
  <si>
    <t xml:space="preserve">Quality control</t>
  </si>
  <si>
    <t xml:space="preserve">All keys in this workbook were computed programmatically (set comparison for unique snippets, token-level diff for difference counts, calendar lookup for day/date items) and are reproducible – see 'Key verification' tab. Re-run the check after any edit.</t>
  </si>
  <si>
    <t xml:space="preserve">ID</t>
  </si>
  <si>
    <t xml:space="preserve">Skill area</t>
  </si>
  <si>
    <t xml:space="preserve">Question type</t>
  </si>
  <si>
    <t xml:space="preserve">Instruction (shown to candidate)</t>
  </si>
  <si>
    <t xml:space="preserve">Passage / material (shown to candidate)</t>
  </si>
  <si>
    <t xml:space="preserve">Question stem</t>
  </si>
  <si>
    <t xml:space="preserve">Attachment</t>
  </si>
  <si>
    <t xml:space="preserve">Option A</t>
  </si>
  <si>
    <t xml:space="preserve">Option B</t>
  </si>
  <si>
    <t xml:space="preserve">Option C</t>
  </si>
  <si>
    <t xml:space="preserve">Option D</t>
  </si>
  <si>
    <t xml:space="preserve">Key</t>
  </si>
  <si>
    <t xml:space="preserve">Key answer (text)</t>
  </si>
  <si>
    <t xml:space="preserve">Rationale / what differs</t>
  </si>
  <si>
    <t xml:space="preserve">Difficulty</t>
  </si>
  <si>
    <t xml:space="preserve">Q1</t>
  </si>
  <si>
    <t xml:space="preserve">Matching information</t>
  </si>
  <si>
    <t xml:space="preserve">Count unique versions</t>
  </si>
  <si>
    <t xml:space="preserve">Review the information carefully. Two items match only if they use identical words, numbers, symbols and punctuation marks.</t>
  </si>
  <si>
    <t xml:space="preserve">Your coworker drafted a message containing the following four snippets. You are checking whether they match each other exactly.
Snippet 1: Order A-2291: 12 units of Model X200 shipped 14 Aug; tracking no. 7783 4410 2; invoice total €1,860.00.
Snippet 2: Order A-2291: 12 units of Model X200 shipped 14 Aug; tracking no. 7783 4410 2; invoice total €1,680.00.
Snippet 3: Order A-2291: 12 units of Model X200 shipped 14 Aug; tracking no. 7783 4410 2; invoice total €1,860.00.
Snippet 4: Order A-2291: 12 units of Model X200 shipped 14 Aug; tracking no. 7783 4401 2; invoice total €1,860.00.</t>
  </si>
  <si>
    <t xml:space="preserve">How many different unique snippet versions are included in the draft?</t>
  </si>
  <si>
    <t xml:space="preserve">None</t>
  </si>
  <si>
    <t xml:space="preserve">One</t>
  </si>
  <si>
    <t xml:space="preserve">Two</t>
  </si>
  <si>
    <t xml:space="preserve">Three</t>
  </si>
  <si>
    <t xml:space="preserve">Four</t>
  </si>
  <si>
    <t xml:space="preserve">C</t>
  </si>
  <si>
    <t xml:space="preserve">Snippets 1 and 3 are identical. Snippet 2 changes €1,860.00 → €1,680.00 (transposed digits). Snippet 4 changes tracking 4410 → 4401. Three unique versions.</t>
  </si>
  <si>
    <t xml:space="preserve">Medium</t>
  </si>
  <si>
    <t xml:space="preserve">Q2</t>
  </si>
  <si>
    <t xml:space="preserve">Match a reference record</t>
  </si>
  <si>
    <t xml:space="preserve">Reference record on file:
Anika Berg, 47 Larkspur Road, Flat 3B, Leeds LS6 2QT
Which of the options below is identical to the reference record?</t>
  </si>
  <si>
    <t xml:space="preserve">Select the option that matches the reference record exactly.</t>
  </si>
  <si>
    <t xml:space="preserve">Anika Berg, 47 Larkspur Road, Flat 3B, Leeds LS6 2QT</t>
  </si>
  <si>
    <t xml:space="preserve">Anika Berg, 47 Larkspur Rd, Flat 3B, Leeds LS6 2QT</t>
  </si>
  <si>
    <t xml:space="preserve">Anika Berg, 47 Larkspur Road, Flat 38, Leeds LS6 2QT</t>
  </si>
  <si>
    <t xml:space="preserve">Anika Berg, 47 Larkspur Road, Flat 3B, Leeds LS6 2OT</t>
  </si>
  <si>
    <t xml:space="preserve">A</t>
  </si>
  <si>
    <t xml:space="preserve">B abbreviates Road → Rd; C changes Flat 3B → 38; D changes postcode 2QT → 2OT (letter O for Q).</t>
  </si>
  <si>
    <t xml:space="preserve">Easy</t>
  </si>
  <si>
    <t xml:space="preserve">Q3</t>
  </si>
  <si>
    <t xml:space="preserve">Cross-check two lists</t>
  </si>
  <si>
    <t xml:space="preserve">Approved invoice numbers:
INV-30417
INV-30471
INV-30714
INV-30741
Invoices received in today's batch:
INV-30417
INV-30174
INV-30741
INV-30471
INV-31047
INV-30714</t>
  </si>
  <si>
    <t xml:space="preserve">How many of the invoices received today are on the approved list?</t>
  </si>
  <si>
    <t xml:space="preserve">Five</t>
  </si>
  <si>
    <t xml:space="preserve">Matches: 30417, 30741, 30471, 30714. Non-matches are digit transpositions: 30174, 31047. Four.</t>
  </si>
  <si>
    <t xml:space="preserve">Q4</t>
  </si>
  <si>
    <t xml:space="preserve">Match a product code</t>
  </si>
  <si>
    <t xml:space="preserve">Reference SKU: TM-2048-BLK-XL</t>
  </si>
  <si>
    <t xml:space="preserve">Which option is identical to the reference SKU?</t>
  </si>
  <si>
    <t xml:space="preserve">TM-2084-BLK-XL</t>
  </si>
  <si>
    <t xml:space="preserve">TM-2048-BLK-XL</t>
  </si>
  <si>
    <t xml:space="preserve">TM-2048-BKL-XL</t>
  </si>
  <si>
    <t xml:space="preserve">TM-2048-BLK-LX</t>
  </si>
  <si>
    <t xml:space="preserve">B</t>
  </si>
  <si>
    <t xml:space="preserve">A transposes 2048 → 2084; C transposes BLK → BKL; D transposes XL → LX.</t>
  </si>
  <si>
    <t xml:space="preserve">Q5</t>
  </si>
  <si>
    <t xml:space="preserve">Count exact occurrences</t>
  </si>
  <si>
    <t xml:space="preserve">Passage: "Please send the report to Finance by Friday. Once the report is approved, the summary will be reported to the board. Last quarter's reports were late, so this report must be on time. If you need the template, the reporting team can share it."</t>
  </si>
  <si>
    <t xml:space="preserve">How many times does the exact word "report" appear in the passage? (Do not count "reports", "reported" or "reporting".)</t>
  </si>
  <si>
    <t xml:space="preserve">Exact matches: 'the report to Finance', 'the report is approved', 'this report must'. Excluded: reported, reports, reporting.</t>
  </si>
  <si>
    <t xml:space="preserve">Q6</t>
  </si>
  <si>
    <t xml:space="preserve">Comparing statements for differences</t>
  </si>
  <si>
    <t xml:space="preserve">Count differences (words &amp; punctuation)</t>
  </si>
  <si>
    <t xml:space="preserve">Compare the two texts word by word. Count every word, number or punctuation mark that differs (a changed, added or missing item counts as one difference).</t>
  </si>
  <si>
    <t xml:space="preserve">Sentence A: Please confirm that the three invoices attached to this email have been forwarded to the accounts team before Thursday's deadline.
Sentence B: Please confirm that the three invoices attached to this email have been forwarded to the account team before Thursdays deadline.</t>
  </si>
  <si>
    <t xml:space="preserve">How many words and punctuation marks are different between the two sentences?</t>
  </si>
  <si>
    <t xml:space="preserve">There are 0 differences between Sentence A and Sentence B.</t>
  </si>
  <si>
    <t xml:space="preserve">There is 1 difference between Sentence A and Sentence B.</t>
  </si>
  <si>
    <t xml:space="preserve">There are 2 differences between Sentence A and Sentence B.</t>
  </si>
  <si>
    <t xml:space="preserve">There are 3 differences between Sentence A and Sentence B.</t>
  </si>
  <si>
    <t xml:space="preserve">accounts → account; Thursday's → Thursdays (missing apostrophe). Two.</t>
  </si>
  <si>
    <t xml:space="preserve">Q7</t>
  </si>
  <si>
    <t xml:space="preserve">Count differences (identical pair)</t>
  </si>
  <si>
    <t xml:space="preserve">Sentence A: The supplier will deliver the replacement parts on 22 September, and installation is scheduled for the following Monday.
Sentence B: The supplier will deliver the replacement parts on 22 September, and installation is scheduled for the following Monday.</t>
  </si>
  <si>
    <t xml:space="preserve">The sentences are identical. Tests whether candidates verify rather than assume a difference must exist.</t>
  </si>
  <si>
    <t xml:space="preserve">Q8</t>
  </si>
  <si>
    <t xml:space="preserve">Count differences (numeric)</t>
  </si>
  <si>
    <t xml:space="preserve">Version A: Attendance: 14; budget approved: €12,500; next review: 3 March; action items: 7; owner: R. Costa.
Version B: Attendance: 14; budget approved: €12,900; next review: 3 March; action items: 7; owner: R. Costa.</t>
  </si>
  <si>
    <t xml:space="preserve">How many differences are there between Version A and Version B?</t>
  </si>
  <si>
    <t xml:space="preserve">0</t>
  </si>
  <si>
    <t xml:space="preserve">1</t>
  </si>
  <si>
    <t xml:space="preserve">2</t>
  </si>
  <si>
    <t xml:space="preserve">3</t>
  </si>
  <si>
    <t xml:space="preserve">€12,500 → €12,900 only. Everything else, including 'R. Costa', is identical.</t>
  </si>
  <si>
    <t xml:space="preserve">Q9</t>
  </si>
  <si>
    <t xml:space="preserve">Identify the differing field</t>
  </si>
  <si>
    <t xml:space="preserve">Record A
Name: Daniel Okafor
Street: 118 Mill Lane
City: Norwich
Postcode: NR2 4PA
Phone: 01603 555 018
Record B
Name: Daniel Okafor
Street: 118 Mill Lane
City: Norwich
Postcode: NR2 4PA
Phone: 01603 555 081</t>
  </si>
  <si>
    <t xml:space="preserve">Which field is different between Record A and Record B?</t>
  </si>
  <si>
    <t xml:space="preserve">Street</t>
  </si>
  <si>
    <t xml:space="preserve">Postcode</t>
  </si>
  <si>
    <t xml:space="preserve">Phone</t>
  </si>
  <si>
    <t xml:space="preserve">None – the records are identical</t>
  </si>
  <si>
    <t xml:space="preserve">Phone ends 018 in A and 081 in B (transposed digits). Street and postcode are identical.</t>
  </si>
  <si>
    <t xml:space="preserve">Q10</t>
  </si>
  <si>
    <t xml:space="preserve">Count differences (paragraph)</t>
  </si>
  <si>
    <t xml:space="preserve">Text A: Our office will be closed on Monday 4 May for the public holiday. Urgent requests should be sent to support@northwind.example, and a member of the team will respond within 24 hours.
Text B: Our office will be closed on Monday 6 May for the public holiday. Urgent requests should be send to support@northwind.example, and a member of the team will respond within 48 hours.</t>
  </si>
  <si>
    <t xml:space="preserve">How many words, numbers or punctuation marks are different between Text A and Text B?</t>
  </si>
  <si>
    <t xml:space="preserve">4</t>
  </si>
  <si>
    <t xml:space="preserve">4 May → 6 May; sent → send; 24 hours → 48 hours. Three. The email address is identical and acts as a distractor.</t>
  </si>
  <si>
    <t xml:space="preserve">Hard</t>
  </si>
  <si>
    <t xml:space="preserve">Q11</t>
  </si>
  <si>
    <t xml:space="preserve">Checking the consistency of information</t>
  </si>
  <si>
    <t xml:space="preserve">Consistency – procedure</t>
  </si>
  <si>
    <t xml:space="preserve">Review the sentences for textual consistency. Consistency means that the facts and/or details in each sentence do not contradict facts or details in the other sentences. Do not use outside knowledge; judge only what the text says.</t>
  </si>
  <si>
    <t xml:space="preserve">Sentence 1: All expense claims must be submitted through the online portal by the 25th of each month.
Sentence 2: Claims received after the 25th will be processed in the following month's payroll.
Sentence 3: Paper claim forms handed to the finance office are also accepted until the 25th.</t>
  </si>
  <si>
    <t xml:space="preserve">Which of the following best describes the consistency of the sentences?</t>
  </si>
  <si>
    <t xml:space="preserve">All three sentences are consistent.</t>
  </si>
  <si>
    <t xml:space="preserve">Sentences 1 and 2 are inconsistent with each other.</t>
  </si>
  <si>
    <t xml:space="preserve">Sentences 1 and 3 are inconsistent with each other.</t>
  </si>
  <si>
    <t xml:space="preserve">Sentences 2 and 3 are inconsistent with each other.</t>
  </si>
  <si>
    <t xml:space="preserve">Sentence 1 says claims 'must' go through the portal; Sentence 3 says paper forms are also accepted. Sentence 2 is consistent with both.</t>
  </si>
  <si>
    <t xml:space="preserve">Q12</t>
  </si>
  <si>
    <t xml:space="preserve">Consistency – all consistent</t>
  </si>
  <si>
    <t xml:space="preserve">Sentence 1: The workshop runs from 9:30 to 12:30 on Tuesday 6 October.
Sentence 2: Participants should arrive by 9:15 to register before the session begins.
Sentence 3: Lunch will be provided after the session ends at 12:30.</t>
  </si>
  <si>
    <t xml:space="preserve">Sentence 1 is inconsistent with sentences 2 and 3.</t>
  </si>
  <si>
    <t xml:space="preserve">Sentence 2 is inconsistent with sentences 1 and 3.</t>
  </si>
  <si>
    <t xml:space="preserve">Sentence 3 is inconsistent with sentences 1 and 2.</t>
  </si>
  <si>
    <t xml:space="preserve">9:15 is before 9:30; 12:30 matches; 6 October 2026 is a Tuesday. No contradictions. Tests resisting the urge to find a fault.</t>
  </si>
  <si>
    <t xml:space="preserve">Q13</t>
  </si>
  <si>
    <t xml:space="preserve">Consistency – day and date</t>
  </si>
  <si>
    <t xml:space="preserve">Sentence 1: The external audit will take place on Wednesday 14 October 2026.
Sentence 2: The auditors will arrive at 8:00 a.m. and need access to the archive room.
Sentence 3: Please make sure the archive room is unlocked by 7:45 a.m. on Thursday 14 October.</t>
  </si>
  <si>
    <t xml:space="preserve">Sentence 3 is inconsistent with sentence 1.</t>
  </si>
  <si>
    <t xml:space="preserve">D</t>
  </si>
  <si>
    <t xml:space="preserve">Sentence 1 gives Wednesday 14 October; Sentence 3 gives Thursday 14 October – same date, different day. 7:45 before 8:00 is consistent with Sentence 2.</t>
  </si>
  <si>
    <t xml:space="preserve">Q14</t>
  </si>
  <si>
    <t xml:space="preserve">Consistency – numbers</t>
  </si>
  <si>
    <t xml:space="preserve">Sentence 1: The training cohort consists of three teams of four people.
Sentence 2: Each team will present for ten minutes, so the presentations will take about 30 minutes in total.
Sentence 3: Certificates have been printed for all 14 participants.</t>
  </si>
  <si>
    <t xml:space="preserve">3 × 4 = 12 people, but Sentence 3 says 14 participants. Sentence 2 (3 × 10 = 30 min) is consistent with Sentence 1.</t>
  </si>
  <si>
    <t xml:space="preserve">Q15</t>
  </si>
  <si>
    <t xml:space="preserve">Consistency – policy</t>
  </si>
  <si>
    <t xml:space="preserve">Sentence 1: Customers may return unused items within 30 days of delivery for a full refund.
Sentence 2: Items returned after 30 days are eligible for store credit only.
Sentence 3: Refunds for returns made 45 days after delivery are paid to the original payment method within 5 working days.</t>
  </si>
  <si>
    <t xml:space="preserve">A return at 45 days is 'after 30 days', so per Sentence 2 only store credit applies – yet Sentence 3 promises a refund to the payment method, contradicting both 1 and 2.</t>
  </si>
  <si>
    <t xml:space="preserve">Summary</t>
  </si>
  <si>
    <t xml:space="preserve">Total questions</t>
  </si>
  <si>
    <t xml:space="preserve">Notes: Render passages in a monospaced or clearly kerned font so that digit and letter differences are visible. Do not shuffle options for count items (Q1, Q3, Q5–Q8, Q10) – keep them in ascending order. Never let the platform auto-correct or 'smart-quote' the passages; that would silently change the keys.</t>
  </si>
  <si>
    <t xml:space="preserve">Verification method</t>
  </si>
  <si>
    <t xml:space="preserve">Computed result</t>
  </si>
  <si>
    <t xml:space="preserve">Key in 'Questions'</t>
  </si>
  <si>
    <t xml:space="preserve">Match?</t>
  </si>
  <si>
    <t xml:space="preserve">Python: len(set(snippets))</t>
  </si>
  <si>
    <t xml:space="preserve">Python: option == reference string</t>
  </si>
  <si>
    <t xml:space="preserve">Python: sum(item in approved_set for item in batch)</t>
  </si>
  <si>
    <t xml:space="preserve">Python: option == reference SKU</t>
  </si>
  <si>
    <t xml:space="preserve">Python: len(re.findall(r'\breport\b', passage))</t>
  </si>
  <si>
    <t xml:space="preserve">Python: token-level difflib count</t>
  </si>
  <si>
    <t xml:space="preserve">Python: fields where A[k] != B[k]</t>
  </si>
  <si>
    <t xml:space="preserve">Manual: 'must … online portal' vs 'paper forms also accepted'</t>
  </si>
  <si>
    <t xml:space="preserve">1 vs 3</t>
  </si>
  <si>
    <t xml:space="preserve">Python: datetime.date(2026,10,6).strftime('%A') == 'Tuesday'; times ordered 9:15 &lt; 9:30 &lt; 12:30</t>
  </si>
  <si>
    <t xml:space="preserve">consistent</t>
  </si>
  <si>
    <t xml:space="preserve">Python: datetime.date(2026,10,14).strftime('%A') == 'Wednesday' (so 'Thursday 14 October' is wrong)</t>
  </si>
  <si>
    <t xml:space="preserve">3 vs 1</t>
  </si>
  <si>
    <t xml:space="preserve">Arithmetic: 3 × 4 = 12 ≠ 14; 3 × 10 = 30 ✓</t>
  </si>
  <si>
    <t xml:space="preserve">Logic: 45 &gt; 30 ⇒ store credit only (S2) vs refund (S3)</t>
  </si>
  <si>
    <t xml:space="preserve">3 vs 1 and 2</t>
  </si>
  <si>
    <t xml:space="preserve">Column D pulls the live key from the Questions tab; column E confirms it matches the value computed when the workbook was generated. If you edit a passage, re-run the generator script (or recheck by hand) and update column C.</t>
  </si>
  <si>
    <t xml:space="preserve">Assessment rubric – Attention to Detail (Textual)</t>
  </si>
  <si>
    <t xml:space="preserve">Scoring rules</t>
  </si>
  <si>
    <t xml:space="preserve">1. 1 point per correct answer; 0 for incorrect, skipped or timed-out items. No negative marking.</t>
  </si>
  <si>
    <t xml:space="preserve">2. Overall score = points ÷ total questions (cell B12). Report the three sub-scores.</t>
  </si>
  <si>
    <t xml:space="preserve">3. Timer: 12 minutes total. Speed matters less than accuracy here; do not shorten the timer to add pressure – that measures stress tolerance, not attention to detail.</t>
  </si>
  <si>
    <t xml:space="preserve">4. Present items in random order across skill areas. Keep count options in ascending order.</t>
  </si>
  <si>
    <t xml:space="preserve">5. Because keys depend on exact characters, disable auto-correct, smart quotes and automatic number formatting in the delivery platform, and re-verify keys after any translation.</t>
  </si>
  <si>
    <t xml:space="preserve">6. Combine with a work-sample task (e.g. proofreading a real document from the role) for final-stage candidates; this test screens, it does not certify.</t>
  </si>
  <si>
    <t xml:space="preserve">Score calculator (enter correct answers in B12)</t>
  </si>
  <si>
    <t xml:space="preserve">Correct answers</t>
  </si>
  <si>
    <t xml:space="preserve">← example value, edit this cell</t>
  </si>
  <si>
    <t xml:space="preserve">Score (%)</t>
  </si>
  <si>
    <t xml:space="preserve">Band</t>
  </si>
  <si>
    <t xml:space="preserve">Score bands</t>
  </si>
  <si>
    <t xml:space="preserve">Min score</t>
  </si>
  <si>
    <t xml:space="preserve">Correct (of 15)</t>
  </si>
  <si>
    <t xml:space="preserve">Interpretation</t>
  </si>
  <si>
    <t xml:space="preserve">Recommended action</t>
  </si>
  <si>
    <t xml:space="preserve">Excellent</t>
  </si>
  <si>
    <t xml:space="preserve">14–15</t>
  </si>
  <si>
    <t xml:space="preserve">Catches transposed digits, missing punctuation and cross-sentence contradictions reliably, and does not invent errors where there are none.</t>
  </si>
  <si>
    <t xml:space="preserve">Progress. Suitable for bookkeeping, data entry, compliance and QA roles without further detail screening.</t>
  </si>
  <si>
    <t xml:space="preserve">Good</t>
  </si>
  <si>
    <t xml:space="preserve">11–13</t>
  </si>
  <si>
    <t xml:space="preserve">Reliable on direct comparisons; occasional misses on multi-fact consistency items or on 'no difference' traps.</t>
  </si>
  <si>
    <t xml:space="preserve">Progress. Review which sub-score is weakest and include one proofreading task in the interview.</t>
  </si>
  <si>
    <t xml:space="preserve">Fair</t>
  </si>
  <si>
    <t xml:space="preserve">8–10</t>
  </si>
  <si>
    <t xml:space="preserve">Notices obvious differences but misses subtle ones (single digit, apostrophe, day/date) or over-reports differences.</t>
  </si>
  <si>
    <t xml:space="preserve">Progress only for roles where detail work is checked by a second person or by system validation.</t>
  </si>
  <si>
    <t xml:space="preserve">Below expectation</t>
  </si>
  <si>
    <t xml:space="preserve">0–7</t>
  </si>
  <si>
    <t xml:space="preserve">Frequent misses; likely to introduce or overlook data errors in administrative work.</t>
  </si>
  <si>
    <t xml:space="preserve">Do not progress for detail-critical roles.</t>
  </si>
  <si>
    <t xml:space="preserve">Skill-level rubric</t>
  </si>
  <si>
    <t xml:space="preserve">Questions</t>
  </si>
  <si>
    <t xml:space="preserve">What a strong candidate does</t>
  </si>
  <si>
    <t xml:space="preserve">Weak signal (≤2/5)</t>
  </si>
  <si>
    <t xml:space="preserve">Error types covered</t>
  </si>
  <si>
    <t xml:space="preserve">Q1–Q5</t>
  </si>
  <si>
    <t xml:space="preserve">Compares character by character, checks every field of a record, counts exact strings without being distracted by near-matches.</t>
  </si>
  <si>
    <t xml:space="preserve">Accepts 'close enough' matches; miscounts near-duplicates.</t>
  </si>
  <si>
    <t xml:space="preserve">Transposed digits, abbreviations, letter/digit look-alikes (O/Q, 3B/38), inflected word forms.</t>
  </si>
  <si>
    <t xml:space="preserve">Q6–Q10</t>
  </si>
  <si>
    <t xml:space="preserve">Works systematically through both texts, counts each differing token once, and correctly reports zero when texts are identical.</t>
  </si>
  <si>
    <t xml:space="preserve">Finds one difference and stops; reports differences in identical texts; double-counts.</t>
  </si>
  <si>
    <t xml:space="preserve">Word substitutions, missing apostrophes, changed numbers and dates, unchanged decoys (email addresses, names).</t>
  </si>
  <si>
    <t xml:space="preserve">Q11–Q15</t>
  </si>
  <si>
    <t xml:space="preserve">Holds facts from earlier sentences in mind and tests each later sentence against them, including arithmetic and calendar checks.</t>
  </si>
  <si>
    <t xml:space="preserve">Judges sentences in isolation; misses numeric or day/date contradictions; flags consistent text as inconsistent.</t>
  </si>
  <si>
    <t xml:space="preserve">Procedural contradictions, day/date mismatch, part/total arithmetic, policy threshold conflicts, fully consistent set (control item).</t>
  </si>
  <si>
    <t xml:space="preserve">Legend: blue text / yellow fill = editable inputs (band thresholds A20:A23, correct answers B12). Black = formulas.</t>
  </si>
  <si>
    <t xml:space="preserve">Resource</t>
  </si>
  <si>
    <t xml:space="preserve">Type</t>
  </si>
  <si>
    <t xml:space="preserve">Licence</t>
  </si>
  <si>
    <t xml:space="preserve">Use it for</t>
  </si>
  <si>
    <t xml:space="preserve">URL</t>
  </si>
  <si>
    <t xml:space="preserve">GitHub Typo Corpus</t>
  </si>
  <si>
    <t xml:space="preserve">350k+ real typo/correction pairs from commit histories</t>
  </si>
  <si>
    <t xml:space="preserve">CC BY 4.0 (metadata) – check per-repo licences for text</t>
  </si>
  <si>
    <t xml:space="preserve">Realistic single-character and word-level errors for difference items</t>
  </si>
  <si>
    <t xml:space="preserve">https://github.com/mhagiwara/github-typo-corpus</t>
  </si>
  <si>
    <t xml:space="preserve">Wikipedia revision history / WikEd Error Corpus</t>
  </si>
  <si>
    <t xml:space="preserve">Sentence pairs before/after edits</t>
  </si>
  <si>
    <t xml:space="preserve">CC BY-SA 3.0/4.0</t>
  </si>
  <si>
    <t xml:space="preserve">Authentic before/after sentence pairs for 'count the differences' items</t>
  </si>
  <si>
    <t xml:space="preserve">https://dumps.wikimedia.org/  |  https://github.com/snukky/wikiedits</t>
  </si>
  <si>
    <t xml:space="preserve">BEA-2019 / W&amp;I+LOCNESS grammatical error corpora</t>
  </si>
  <si>
    <t xml:space="preserve">Learner sentences with corrections</t>
  </si>
  <si>
    <t xml:space="preserve">Research use – check licence</t>
  </si>
  <si>
    <t xml:space="preserve">Grammar-level differences (apostrophes, agreement) for comparison items</t>
  </si>
  <si>
    <t xml:space="preserve">https://www.cl.cam.ac.uk/research/nl/bea2019st/</t>
  </si>
  <si>
    <t xml:space="preserve">Faker (Python library)</t>
  </si>
  <si>
    <t xml:space="preserve">Synthetic names, addresses, phone numbers, SKUs, invoice numbers</t>
  </si>
  <si>
    <t xml:space="preserve">MIT</t>
  </si>
  <si>
    <t xml:space="preserve">Generate unlimited realistic records for matching items without using real personal data</t>
  </si>
  <si>
    <t xml:space="preserve">https://github.com/joke2k/faker</t>
  </si>
  <si>
    <t xml:space="preserve">OpenAddresses</t>
  </si>
  <si>
    <t xml:space="preserve">Open address data</t>
  </si>
  <si>
    <t xml:space="preserve">Various open licences (mostly CC BY / ODbL)</t>
  </si>
  <si>
    <t xml:space="preserve">Real address formats for record-matching items (anonymise names)</t>
  </si>
  <si>
    <t xml:space="preserve">https://openaddresses.io/</t>
  </si>
  <si>
    <t xml:space="preserve">Enron Email Dataset (CMU)</t>
  </si>
  <si>
    <t xml:space="preserve">Real workplace emails</t>
  </si>
  <si>
    <t xml:space="preserve">Public domain</t>
  </si>
  <si>
    <t xml:space="preserve">Realistic business-email phrasing for consistency items – paraphrase; do not use real names</t>
  </si>
  <si>
    <t xml:space="preserve">https://www.cs.cmu.edu/~enron/</t>
  </si>
  <si>
    <t xml:space="preserve">US Government plain-language sample documents (plainlanguage.gov)</t>
  </si>
  <si>
    <t xml:space="preserve">Policy and procedure text</t>
  </si>
  <si>
    <t xml:space="preserve">Source material for policy-consistency items</t>
  </si>
  <si>
    <t xml:space="preserve">https://www.plainlanguage.gov/examples/</t>
  </si>
  <si>
    <t xml:space="preserve">Python difflib + datetime (standard library)</t>
  </si>
  <si>
    <t xml:space="preserve">Tooling</t>
  </si>
  <si>
    <t xml:space="preserve">PSF licence</t>
  </si>
  <si>
    <t xml:space="preserve">Compute and verify keys for difference counts and day/date items (method used in this workbook)</t>
  </si>
  <si>
    <t xml:space="preserve">https://docs.python.org/3/library/difflib.html</t>
  </si>
  <si>
    <t xml:space="preserve">All passages, records and codes in this workbook are fictional and original. Names and addresses do not refer to real people.</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</si>
</sst>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color rgb="FF595959"/>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5"/>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n">
        <f aca="false">Questions!$B$19</f>
        <v>15</v>
      </c>
    </row>
    <row r="6" customFormat="false" ht="23.85" hidden="false" customHeight="false" outlineLevel="0" collapsed="false">
      <c r="A6" s="2" t="s">
        <v>6</v>
      </c>
      <c r="B6" s="3" t="s">
        <v>7</v>
      </c>
    </row>
    <row r="7" customFormat="false" ht="15" hidden="false" customHeight="false" outlineLevel="0" collapsed="false">
      <c r="A7" s="2" t="s">
        <v>8</v>
      </c>
      <c r="B7" s="3" t="s">
        <v>9</v>
      </c>
    </row>
    <row r="8" customFormat="false" ht="15" hidden="false" customHeight="false" outlineLevel="0" collapsed="false">
      <c r="A8" s="2" t="s">
        <v>10</v>
      </c>
      <c r="B8" s="3" t="s">
        <v>11</v>
      </c>
    </row>
    <row r="9" customFormat="false" ht="23.85" hidden="false" customHeight="false" outlineLevel="0" collapsed="false">
      <c r="A9" s="2" t="s">
        <v>12</v>
      </c>
      <c r="B9" s="3" t="s">
        <v>13</v>
      </c>
    </row>
    <row r="10" customFormat="false" ht="35.05" hidden="false" customHeight="false" outlineLevel="0" collapsed="false">
      <c r="A10" s="2" t="s">
        <v>14</v>
      </c>
      <c r="B10" s="3" t="s">
        <v>15</v>
      </c>
    </row>
    <row r="11" customFormat="false" ht="23.85" hidden="false" customHeight="false" outlineLevel="0" collapsed="false">
      <c r="A11" s="2" t="s">
        <v>16</v>
      </c>
      <c r="B11" s="3" t="s">
        <v>17</v>
      </c>
    </row>
    <row r="12" customFormat="false" ht="113.4" hidden="false" customHeight="false" outlineLevel="0" collapsed="false">
      <c r="A12" s="2" t="s">
        <v>18</v>
      </c>
      <c r="B12" s="3" t="s">
        <v>19</v>
      </c>
    </row>
    <row r="13" customFormat="false" ht="15" hidden="false" customHeight="false" outlineLevel="0" collapsed="false">
      <c r="A13" s="2" t="s">
        <v>20</v>
      </c>
      <c r="B13" s="3" t="s">
        <v>21</v>
      </c>
    </row>
    <row r="14" customFormat="false" ht="15" hidden="false" customHeight="false" outlineLevel="0" collapsed="false">
      <c r="A14" s="2" t="s">
        <v>22</v>
      </c>
      <c r="B14" s="3" t="s">
        <v>23</v>
      </c>
    </row>
    <row r="15" customFormat="false" ht="15" hidden="false" customHeight="false" outlineLevel="0" collapsed="false">
      <c r="A15" s="2" t="s">
        <v>24</v>
      </c>
      <c r="B15" s="3" t="s">
        <v>25</v>
      </c>
    </row>
    <row r="16" customFormat="false" ht="23.85" hidden="false" customHeight="false" outlineLevel="0" collapsed="false">
      <c r="A16" s="2" t="s">
        <v>26</v>
      </c>
      <c r="B16"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6"/>
    <col collapsed="false" customWidth="true" hidden="false" outlineLevel="0" max="4" min="4" style="0" width="40"/>
    <col collapsed="false" customWidth="true" hidden="false" outlineLevel="0" max="5" min="5" style="0" width="60"/>
    <col collapsed="false" customWidth="true" hidden="false" outlineLevel="0" max="6" min="6" style="0" width="40"/>
    <col collapsed="false" customWidth="true" hidden="false" outlineLevel="0" max="7" min="7" style="0" width="10"/>
    <col collapsed="false" customWidth="true" hidden="false" outlineLevel="0" max="11" min="8" style="0" width="30"/>
    <col collapsed="false" customWidth="true" hidden="false" outlineLevel="0" max="12" min="12" style="0" width="6"/>
    <col collapsed="false" customWidth="true" hidden="false" outlineLevel="0" max="13" min="13" style="0" width="30"/>
    <col collapsed="false" customWidth="true" hidden="false" outlineLevel="0" max="14" min="14" style="0" width="52"/>
    <col collapsed="false" customWidth="true" hidden="false" outlineLevel="0" max="15" min="15" style="0" width="10"/>
  </cols>
  <sheetData>
    <row r="1" customFormat="false" ht="26.85" hidden="false" customHeight="false" outlineLevel="0" collapsed="false">
      <c r="A1" s="4" t="s">
        <v>28</v>
      </c>
      <c r="B1" s="4" t="s">
        <v>29</v>
      </c>
      <c r="C1" s="4" t="s">
        <v>30</v>
      </c>
      <c r="D1" s="4" t="s">
        <v>31</v>
      </c>
      <c r="E1" s="4" t="s">
        <v>32</v>
      </c>
      <c r="F1" s="4" t="s">
        <v>33</v>
      </c>
      <c r="G1" s="4" t="s">
        <v>34</v>
      </c>
      <c r="H1" s="4" t="s">
        <v>35</v>
      </c>
      <c r="I1" s="4" t="s">
        <v>36</v>
      </c>
      <c r="J1" s="4" t="s">
        <v>37</v>
      </c>
      <c r="K1" s="4" t="s">
        <v>38</v>
      </c>
      <c r="L1" s="4" t="s">
        <v>39</v>
      </c>
      <c r="M1" s="4" t="s">
        <v>40</v>
      </c>
      <c r="N1" s="4" t="s">
        <v>41</v>
      </c>
      <c r="O1" s="4" t="s">
        <v>42</v>
      </c>
    </row>
    <row r="2" customFormat="false" ht="158.2" hidden="false" customHeight="false" outlineLevel="0" collapsed="false">
      <c r="A2" s="5" t="s">
        <v>43</v>
      </c>
      <c r="B2" s="5" t="s">
        <v>44</v>
      </c>
      <c r="C2" s="5" t="s">
        <v>45</v>
      </c>
      <c r="D2" s="5" t="s">
        <v>46</v>
      </c>
      <c r="E2" s="5" t="s">
        <v>47</v>
      </c>
      <c r="F2" s="5" t="s">
        <v>48</v>
      </c>
      <c r="G2" s="5" t="s">
        <v>49</v>
      </c>
      <c r="H2" s="5" t="s">
        <v>50</v>
      </c>
      <c r="I2" s="5" t="s">
        <v>51</v>
      </c>
      <c r="J2" s="5" t="s">
        <v>52</v>
      </c>
      <c r="K2" s="5" t="s">
        <v>53</v>
      </c>
      <c r="L2" s="6" t="s">
        <v>54</v>
      </c>
      <c r="M2" s="6" t="s">
        <v>52</v>
      </c>
      <c r="N2" s="5" t="s">
        <v>55</v>
      </c>
      <c r="O2" s="5" t="s">
        <v>56</v>
      </c>
    </row>
    <row r="3" customFormat="false" ht="46.25" hidden="false" customHeight="false" outlineLevel="0" collapsed="false">
      <c r="A3" s="5" t="s">
        <v>57</v>
      </c>
      <c r="B3" s="5" t="s">
        <v>44</v>
      </c>
      <c r="C3" s="5" t="s">
        <v>58</v>
      </c>
      <c r="D3" s="5" t="s">
        <v>46</v>
      </c>
      <c r="E3" s="5" t="s">
        <v>59</v>
      </c>
      <c r="F3" s="5" t="s">
        <v>60</v>
      </c>
      <c r="G3" s="5" t="s">
        <v>49</v>
      </c>
      <c r="H3" s="5" t="s">
        <v>61</v>
      </c>
      <c r="I3" s="5" t="s">
        <v>62</v>
      </c>
      <c r="J3" s="5" t="s">
        <v>63</v>
      </c>
      <c r="K3" s="5" t="s">
        <v>64</v>
      </c>
      <c r="L3" s="6" t="s">
        <v>65</v>
      </c>
      <c r="M3" s="6" t="s">
        <v>61</v>
      </c>
      <c r="N3" s="5" t="s">
        <v>66</v>
      </c>
      <c r="O3" s="5" t="s">
        <v>67</v>
      </c>
    </row>
    <row r="4" customFormat="false" ht="147" hidden="false" customHeight="false" outlineLevel="0" collapsed="false">
      <c r="A4" s="5" t="s">
        <v>68</v>
      </c>
      <c r="B4" s="5" t="s">
        <v>44</v>
      </c>
      <c r="C4" s="5" t="s">
        <v>69</v>
      </c>
      <c r="D4" s="5" t="s">
        <v>46</v>
      </c>
      <c r="E4" s="5" t="s">
        <v>70</v>
      </c>
      <c r="F4" s="5" t="s">
        <v>71</v>
      </c>
      <c r="G4" s="5" t="s">
        <v>49</v>
      </c>
      <c r="H4" s="5" t="s">
        <v>51</v>
      </c>
      <c r="I4" s="5" t="s">
        <v>52</v>
      </c>
      <c r="J4" s="5" t="s">
        <v>53</v>
      </c>
      <c r="K4" s="5" t="s">
        <v>72</v>
      </c>
      <c r="L4" s="6" t="s">
        <v>54</v>
      </c>
      <c r="M4" s="6" t="s">
        <v>53</v>
      </c>
      <c r="N4" s="5" t="s">
        <v>73</v>
      </c>
      <c r="O4" s="5" t="s">
        <v>56</v>
      </c>
    </row>
    <row r="5" customFormat="false" ht="35.05" hidden="false" customHeight="false" outlineLevel="0" collapsed="false">
      <c r="A5" s="5" t="s">
        <v>74</v>
      </c>
      <c r="B5" s="5" t="s">
        <v>44</v>
      </c>
      <c r="C5" s="5" t="s">
        <v>75</v>
      </c>
      <c r="D5" s="5" t="s">
        <v>46</v>
      </c>
      <c r="E5" s="5" t="s">
        <v>76</v>
      </c>
      <c r="F5" s="5" t="s">
        <v>77</v>
      </c>
      <c r="G5" s="5" t="s">
        <v>49</v>
      </c>
      <c r="H5" s="5" t="s">
        <v>78</v>
      </c>
      <c r="I5" s="5" t="s">
        <v>79</v>
      </c>
      <c r="J5" s="5" t="s">
        <v>80</v>
      </c>
      <c r="K5" s="5" t="s">
        <v>81</v>
      </c>
      <c r="L5" s="6" t="s">
        <v>82</v>
      </c>
      <c r="M5" s="6" t="s">
        <v>79</v>
      </c>
      <c r="N5" s="5" t="s">
        <v>83</v>
      </c>
      <c r="O5" s="5" t="s">
        <v>67</v>
      </c>
    </row>
    <row r="6" customFormat="false" ht="46.25" hidden="false" customHeight="false" outlineLevel="0" collapsed="false">
      <c r="A6" s="5" t="s">
        <v>84</v>
      </c>
      <c r="B6" s="5" t="s">
        <v>44</v>
      </c>
      <c r="C6" s="5" t="s">
        <v>85</v>
      </c>
      <c r="D6" s="5" t="s">
        <v>46</v>
      </c>
      <c r="E6" s="5" t="s">
        <v>86</v>
      </c>
      <c r="F6" s="5" t="s">
        <v>87</v>
      </c>
      <c r="G6" s="5" t="s">
        <v>49</v>
      </c>
      <c r="H6" s="5" t="s">
        <v>51</v>
      </c>
      <c r="I6" s="5" t="s">
        <v>52</v>
      </c>
      <c r="J6" s="5" t="s">
        <v>53</v>
      </c>
      <c r="K6" s="5" t="s">
        <v>72</v>
      </c>
      <c r="L6" s="6" t="s">
        <v>82</v>
      </c>
      <c r="M6" s="6" t="s">
        <v>52</v>
      </c>
      <c r="N6" s="5" t="s">
        <v>88</v>
      </c>
      <c r="O6" s="5" t="s">
        <v>56</v>
      </c>
    </row>
    <row r="7" customFormat="false" ht="57.45" hidden="false" customHeight="false" outlineLevel="0" collapsed="false">
      <c r="A7" s="5" t="s">
        <v>89</v>
      </c>
      <c r="B7" s="5" t="s">
        <v>90</v>
      </c>
      <c r="C7" s="5" t="s">
        <v>91</v>
      </c>
      <c r="D7" s="5" t="s">
        <v>92</v>
      </c>
      <c r="E7" s="5" t="s">
        <v>93</v>
      </c>
      <c r="F7" s="5" t="s">
        <v>94</v>
      </c>
      <c r="G7" s="5" t="s">
        <v>49</v>
      </c>
      <c r="H7" s="5" t="s">
        <v>95</v>
      </c>
      <c r="I7" s="5" t="s">
        <v>96</v>
      </c>
      <c r="J7" s="5" t="s">
        <v>97</v>
      </c>
      <c r="K7" s="5" t="s">
        <v>98</v>
      </c>
      <c r="L7" s="6" t="s">
        <v>54</v>
      </c>
      <c r="M7" s="6" t="s">
        <v>97</v>
      </c>
      <c r="N7" s="5" t="s">
        <v>99</v>
      </c>
      <c r="O7" s="5" t="s">
        <v>56</v>
      </c>
    </row>
    <row r="8" customFormat="false" ht="57.45" hidden="false" customHeight="false" outlineLevel="0" collapsed="false">
      <c r="A8" s="5" t="s">
        <v>100</v>
      </c>
      <c r="B8" s="5" t="s">
        <v>90</v>
      </c>
      <c r="C8" s="5" t="s">
        <v>101</v>
      </c>
      <c r="D8" s="5" t="s">
        <v>92</v>
      </c>
      <c r="E8" s="5" t="s">
        <v>102</v>
      </c>
      <c r="F8" s="5" t="s">
        <v>94</v>
      </c>
      <c r="G8" s="5" t="s">
        <v>49</v>
      </c>
      <c r="H8" s="5" t="s">
        <v>95</v>
      </c>
      <c r="I8" s="5" t="s">
        <v>96</v>
      </c>
      <c r="J8" s="5" t="s">
        <v>97</v>
      </c>
      <c r="K8" s="5" t="s">
        <v>98</v>
      </c>
      <c r="L8" s="6" t="s">
        <v>65</v>
      </c>
      <c r="M8" s="6" t="s">
        <v>95</v>
      </c>
      <c r="N8" s="5" t="s">
        <v>103</v>
      </c>
      <c r="O8" s="5" t="s">
        <v>56</v>
      </c>
    </row>
    <row r="9" customFormat="false" ht="57.45" hidden="false" customHeight="false" outlineLevel="0" collapsed="false">
      <c r="A9" s="5" t="s">
        <v>104</v>
      </c>
      <c r="B9" s="5" t="s">
        <v>90</v>
      </c>
      <c r="C9" s="5" t="s">
        <v>105</v>
      </c>
      <c r="D9" s="5" t="s">
        <v>92</v>
      </c>
      <c r="E9" s="5" t="s">
        <v>106</v>
      </c>
      <c r="F9" s="5" t="s">
        <v>107</v>
      </c>
      <c r="G9" s="5" t="s">
        <v>49</v>
      </c>
      <c r="H9" s="5" t="s">
        <v>108</v>
      </c>
      <c r="I9" s="5" t="s">
        <v>109</v>
      </c>
      <c r="J9" s="5" t="s">
        <v>110</v>
      </c>
      <c r="K9" s="5" t="s">
        <v>111</v>
      </c>
      <c r="L9" s="6" t="s">
        <v>82</v>
      </c>
      <c r="M9" s="6" t="s">
        <v>109</v>
      </c>
      <c r="N9" s="5" t="s">
        <v>112</v>
      </c>
      <c r="O9" s="5" t="s">
        <v>67</v>
      </c>
    </row>
    <row r="10" customFormat="false" ht="147" hidden="false" customHeight="false" outlineLevel="0" collapsed="false">
      <c r="A10" s="5" t="s">
        <v>113</v>
      </c>
      <c r="B10" s="5" t="s">
        <v>90</v>
      </c>
      <c r="C10" s="5" t="s">
        <v>114</v>
      </c>
      <c r="D10" s="5" t="s">
        <v>92</v>
      </c>
      <c r="E10" s="5" t="s">
        <v>115</v>
      </c>
      <c r="F10" s="5" t="s">
        <v>116</v>
      </c>
      <c r="G10" s="5" t="s">
        <v>49</v>
      </c>
      <c r="H10" s="5" t="s">
        <v>117</v>
      </c>
      <c r="I10" s="5" t="s">
        <v>118</v>
      </c>
      <c r="J10" s="5" t="s">
        <v>119</v>
      </c>
      <c r="K10" s="5" t="s">
        <v>120</v>
      </c>
      <c r="L10" s="6" t="s">
        <v>54</v>
      </c>
      <c r="M10" s="6" t="s">
        <v>119</v>
      </c>
      <c r="N10" s="5" t="s">
        <v>121</v>
      </c>
      <c r="O10" s="5" t="s">
        <v>67</v>
      </c>
    </row>
    <row r="11" customFormat="false" ht="79.85" hidden="false" customHeight="false" outlineLevel="0" collapsed="false">
      <c r="A11" s="5" t="s">
        <v>122</v>
      </c>
      <c r="B11" s="5" t="s">
        <v>90</v>
      </c>
      <c r="C11" s="5" t="s">
        <v>123</v>
      </c>
      <c r="D11" s="5" t="s">
        <v>92</v>
      </c>
      <c r="E11" s="5" t="s">
        <v>124</v>
      </c>
      <c r="F11" s="5" t="s">
        <v>125</v>
      </c>
      <c r="G11" s="5" t="s">
        <v>49</v>
      </c>
      <c r="H11" s="5" t="s">
        <v>109</v>
      </c>
      <c r="I11" s="5" t="s">
        <v>110</v>
      </c>
      <c r="J11" s="5" t="s">
        <v>111</v>
      </c>
      <c r="K11" s="5" t="s">
        <v>126</v>
      </c>
      <c r="L11" s="6" t="s">
        <v>54</v>
      </c>
      <c r="M11" s="6" t="s">
        <v>111</v>
      </c>
      <c r="N11" s="5" t="s">
        <v>127</v>
      </c>
      <c r="O11" s="5" t="s">
        <v>128</v>
      </c>
    </row>
    <row r="12" customFormat="false" ht="68.65" hidden="false" customHeight="false" outlineLevel="0" collapsed="false">
      <c r="A12" s="5" t="s">
        <v>129</v>
      </c>
      <c r="B12" s="5" t="s">
        <v>130</v>
      </c>
      <c r="C12" s="5" t="s">
        <v>131</v>
      </c>
      <c r="D12" s="5" t="s">
        <v>132</v>
      </c>
      <c r="E12" s="5" t="s">
        <v>133</v>
      </c>
      <c r="F12" s="5" t="s">
        <v>134</v>
      </c>
      <c r="G12" s="5" t="s">
        <v>49</v>
      </c>
      <c r="H12" s="5" t="s">
        <v>135</v>
      </c>
      <c r="I12" s="5" t="s">
        <v>136</v>
      </c>
      <c r="J12" s="5" t="s">
        <v>137</v>
      </c>
      <c r="K12" s="5" t="s">
        <v>138</v>
      </c>
      <c r="L12" s="6" t="s">
        <v>54</v>
      </c>
      <c r="M12" s="6" t="s">
        <v>137</v>
      </c>
      <c r="N12" s="5" t="s">
        <v>139</v>
      </c>
      <c r="O12" s="5" t="s">
        <v>56</v>
      </c>
    </row>
    <row r="13" customFormat="false" ht="68.65" hidden="false" customHeight="false" outlineLevel="0" collapsed="false">
      <c r="A13" s="5" t="s">
        <v>140</v>
      </c>
      <c r="B13" s="5" t="s">
        <v>130</v>
      </c>
      <c r="C13" s="5" t="s">
        <v>141</v>
      </c>
      <c r="D13" s="5" t="s">
        <v>132</v>
      </c>
      <c r="E13" s="5" t="s">
        <v>142</v>
      </c>
      <c r="F13" s="5" t="s">
        <v>134</v>
      </c>
      <c r="G13" s="5" t="s">
        <v>49</v>
      </c>
      <c r="H13" s="5" t="s">
        <v>135</v>
      </c>
      <c r="I13" s="5" t="s">
        <v>143</v>
      </c>
      <c r="J13" s="5" t="s">
        <v>144</v>
      </c>
      <c r="K13" s="5" t="s">
        <v>145</v>
      </c>
      <c r="L13" s="6" t="s">
        <v>65</v>
      </c>
      <c r="M13" s="6" t="s">
        <v>135</v>
      </c>
      <c r="N13" s="5" t="s">
        <v>146</v>
      </c>
      <c r="O13" s="5" t="s">
        <v>56</v>
      </c>
    </row>
    <row r="14" customFormat="false" ht="68.65" hidden="false" customHeight="false" outlineLevel="0" collapsed="false">
      <c r="A14" s="5" t="s">
        <v>147</v>
      </c>
      <c r="B14" s="5" t="s">
        <v>130</v>
      </c>
      <c r="C14" s="5" t="s">
        <v>148</v>
      </c>
      <c r="D14" s="5" t="s">
        <v>132</v>
      </c>
      <c r="E14" s="5" t="s">
        <v>149</v>
      </c>
      <c r="F14" s="5" t="s">
        <v>134</v>
      </c>
      <c r="G14" s="5" t="s">
        <v>49</v>
      </c>
      <c r="H14" s="5" t="s">
        <v>135</v>
      </c>
      <c r="I14" s="5" t="s">
        <v>143</v>
      </c>
      <c r="J14" s="5" t="s">
        <v>144</v>
      </c>
      <c r="K14" s="5" t="s">
        <v>150</v>
      </c>
      <c r="L14" s="6" t="s">
        <v>151</v>
      </c>
      <c r="M14" s="6" t="s">
        <v>150</v>
      </c>
      <c r="N14" s="5" t="s">
        <v>152</v>
      </c>
      <c r="O14" s="5" t="s">
        <v>56</v>
      </c>
    </row>
    <row r="15" customFormat="false" ht="68.65" hidden="false" customHeight="false" outlineLevel="0" collapsed="false">
      <c r="A15" s="5" t="s">
        <v>153</v>
      </c>
      <c r="B15" s="5" t="s">
        <v>130</v>
      </c>
      <c r="C15" s="5" t="s">
        <v>154</v>
      </c>
      <c r="D15" s="5" t="s">
        <v>132</v>
      </c>
      <c r="E15" s="5" t="s">
        <v>155</v>
      </c>
      <c r="F15" s="5" t="s">
        <v>134</v>
      </c>
      <c r="G15" s="5" t="s">
        <v>49</v>
      </c>
      <c r="H15" s="5" t="s">
        <v>135</v>
      </c>
      <c r="I15" s="5" t="s">
        <v>136</v>
      </c>
      <c r="J15" s="5" t="s">
        <v>137</v>
      </c>
      <c r="K15" s="5" t="s">
        <v>138</v>
      </c>
      <c r="L15" s="6" t="s">
        <v>54</v>
      </c>
      <c r="M15" s="6" t="s">
        <v>137</v>
      </c>
      <c r="N15" s="5" t="s">
        <v>156</v>
      </c>
      <c r="O15" s="5" t="s">
        <v>128</v>
      </c>
    </row>
    <row r="16" customFormat="false" ht="68.65" hidden="false" customHeight="false" outlineLevel="0" collapsed="false">
      <c r="A16" s="5" t="s">
        <v>157</v>
      </c>
      <c r="B16" s="5" t="s">
        <v>130</v>
      </c>
      <c r="C16" s="5" t="s">
        <v>158</v>
      </c>
      <c r="D16" s="5" t="s">
        <v>132</v>
      </c>
      <c r="E16" s="5" t="s">
        <v>159</v>
      </c>
      <c r="F16" s="5" t="s">
        <v>134</v>
      </c>
      <c r="G16" s="5" t="s">
        <v>49</v>
      </c>
      <c r="H16" s="5" t="s">
        <v>135</v>
      </c>
      <c r="I16" s="5" t="s">
        <v>143</v>
      </c>
      <c r="J16" s="5" t="s">
        <v>144</v>
      </c>
      <c r="K16" s="5" t="s">
        <v>145</v>
      </c>
      <c r="L16" s="6" t="s">
        <v>151</v>
      </c>
      <c r="M16" s="6" t="s">
        <v>145</v>
      </c>
      <c r="N16" s="5" t="s">
        <v>160</v>
      </c>
      <c r="O16" s="5" t="s">
        <v>128</v>
      </c>
    </row>
    <row r="18" customFormat="false" ht="15" hidden="false" customHeight="false" outlineLevel="0" collapsed="false">
      <c r="A18" s="7" t="s">
        <v>161</v>
      </c>
    </row>
    <row r="19" customFormat="false" ht="15" hidden="false" customHeight="false" outlineLevel="0" collapsed="false">
      <c r="A19" s="8" t="s">
        <v>162</v>
      </c>
      <c r="B19" s="7" t="n">
        <f aca="false">COUNTA(A2:A16)</f>
        <v>15</v>
      </c>
    </row>
    <row r="20" customFormat="false" ht="15" hidden="false" customHeight="false" outlineLevel="0" collapsed="false">
      <c r="A20" s="8" t="s">
        <v>44</v>
      </c>
      <c r="B20" s="7" t="n">
        <f aca="false">COUNTIF(B2:B16,"Matching information")</f>
        <v>5</v>
      </c>
    </row>
    <row r="21" customFormat="false" ht="15" hidden="false" customHeight="false" outlineLevel="0" collapsed="false">
      <c r="A21" s="8" t="s">
        <v>90</v>
      </c>
      <c r="B21" s="7" t="n">
        <f aca="false">COUNTIF(B2:B16,"Comparing statements for differences")</f>
        <v>5</v>
      </c>
    </row>
    <row r="22" customFormat="false" ht="15" hidden="false" customHeight="false" outlineLevel="0" collapsed="false">
      <c r="A22" s="8" t="s">
        <v>130</v>
      </c>
      <c r="B22" s="7" t="n">
        <f aca="false">COUNTIF(B2:B16,"Checking the consistency of information")</f>
        <v>5</v>
      </c>
    </row>
    <row r="24" customFormat="false" ht="15" hidden="false" customHeight="false" outlineLevel="0" collapsed="false">
      <c r="A24" s="9"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4" min="3" style="0" width="18"/>
    <col collapsed="false" customWidth="true" hidden="false" outlineLevel="0" max="5" min="5" style="0" width="10"/>
  </cols>
  <sheetData>
    <row r="1" customFormat="false" ht="26.85" hidden="false" customHeight="false" outlineLevel="0" collapsed="false">
      <c r="A1" s="4" t="s">
        <v>28</v>
      </c>
      <c r="B1" s="4" t="s">
        <v>164</v>
      </c>
      <c r="C1" s="4" t="s">
        <v>165</v>
      </c>
      <c r="D1" s="4" t="s">
        <v>166</v>
      </c>
      <c r="E1" s="4" t="s">
        <v>167</v>
      </c>
    </row>
    <row r="2" customFormat="false" ht="15" hidden="false" customHeight="false" outlineLevel="0" collapsed="false">
      <c r="A2" s="5" t="s">
        <v>43</v>
      </c>
      <c r="B2" s="5" t="s">
        <v>168</v>
      </c>
      <c r="C2" s="5" t="s">
        <v>111</v>
      </c>
      <c r="D2" s="5" t="str">
        <f aca="false">Questions!L2</f>
        <v>C</v>
      </c>
      <c r="E2" s="5" t="str">
        <f aca="false">IF(D2="C","OK","CHECK")</f>
        <v>OK</v>
      </c>
    </row>
    <row r="3" customFormat="false" ht="15" hidden="false" customHeight="false" outlineLevel="0" collapsed="false">
      <c r="A3" s="5" t="s">
        <v>57</v>
      </c>
      <c r="B3" s="5" t="s">
        <v>169</v>
      </c>
      <c r="C3" s="5" t="s">
        <v>65</v>
      </c>
      <c r="D3" s="5" t="str">
        <f aca="false">Questions!L3</f>
        <v>A</v>
      </c>
      <c r="E3" s="5" t="str">
        <f aca="false">IF(D3="A","OK","CHECK")</f>
        <v>OK</v>
      </c>
    </row>
    <row r="4" customFormat="false" ht="15" hidden="false" customHeight="false" outlineLevel="0" collapsed="false">
      <c r="A4" s="5" t="s">
        <v>68</v>
      </c>
      <c r="B4" s="5" t="s">
        <v>170</v>
      </c>
      <c r="C4" s="5" t="s">
        <v>126</v>
      </c>
      <c r="D4" s="5" t="str">
        <f aca="false">Questions!L4</f>
        <v>C</v>
      </c>
      <c r="E4" s="5" t="str">
        <f aca="false">IF(D4="C","OK","CHECK")</f>
        <v>OK</v>
      </c>
    </row>
    <row r="5" customFormat="false" ht="15" hidden="false" customHeight="false" outlineLevel="0" collapsed="false">
      <c r="A5" s="5" t="s">
        <v>74</v>
      </c>
      <c r="B5" s="5" t="s">
        <v>171</v>
      </c>
      <c r="C5" s="5" t="s">
        <v>82</v>
      </c>
      <c r="D5" s="5" t="str">
        <f aca="false">Questions!L5</f>
        <v>B</v>
      </c>
      <c r="E5" s="5" t="str">
        <f aca="false">IF(D5="B","OK","CHECK")</f>
        <v>OK</v>
      </c>
    </row>
    <row r="6" customFormat="false" ht="15" hidden="false" customHeight="false" outlineLevel="0" collapsed="false">
      <c r="A6" s="5" t="s">
        <v>84</v>
      </c>
      <c r="B6" s="5" t="s">
        <v>172</v>
      </c>
      <c r="C6" s="5" t="s">
        <v>111</v>
      </c>
      <c r="D6" s="5" t="str">
        <f aca="false">Questions!L6</f>
        <v>B</v>
      </c>
      <c r="E6" s="5" t="str">
        <f aca="false">IF(D6="B","OK","CHECK")</f>
        <v>OK</v>
      </c>
    </row>
    <row r="7" customFormat="false" ht="15" hidden="false" customHeight="false" outlineLevel="0" collapsed="false">
      <c r="A7" s="5" t="s">
        <v>89</v>
      </c>
      <c r="B7" s="5" t="s">
        <v>173</v>
      </c>
      <c r="C7" s="5" t="s">
        <v>110</v>
      </c>
      <c r="D7" s="5" t="str">
        <f aca="false">Questions!L7</f>
        <v>C</v>
      </c>
      <c r="E7" s="5" t="str">
        <f aca="false">IF(D7="C","OK","CHECK")</f>
        <v>OK</v>
      </c>
    </row>
    <row r="8" customFormat="false" ht="15" hidden="false" customHeight="false" outlineLevel="0" collapsed="false">
      <c r="A8" s="5" t="s">
        <v>100</v>
      </c>
      <c r="B8" s="5" t="s">
        <v>173</v>
      </c>
      <c r="C8" s="5" t="s">
        <v>108</v>
      </c>
      <c r="D8" s="5" t="str">
        <f aca="false">Questions!L8</f>
        <v>A</v>
      </c>
      <c r="E8" s="5" t="str">
        <f aca="false">IF(D8="A","OK","CHECK")</f>
        <v>OK</v>
      </c>
    </row>
    <row r="9" customFormat="false" ht="15" hidden="false" customHeight="false" outlineLevel="0" collapsed="false">
      <c r="A9" s="5" t="s">
        <v>104</v>
      </c>
      <c r="B9" s="5" t="s">
        <v>173</v>
      </c>
      <c r="C9" s="5" t="s">
        <v>109</v>
      </c>
      <c r="D9" s="5" t="str">
        <f aca="false">Questions!L9</f>
        <v>B</v>
      </c>
      <c r="E9" s="5" t="str">
        <f aca="false">IF(D9="B","OK","CHECK")</f>
        <v>OK</v>
      </c>
    </row>
    <row r="10" customFormat="false" ht="15" hidden="false" customHeight="false" outlineLevel="0" collapsed="false">
      <c r="A10" s="5" t="s">
        <v>113</v>
      </c>
      <c r="B10" s="5" t="s">
        <v>174</v>
      </c>
      <c r="C10" s="5" t="s">
        <v>119</v>
      </c>
      <c r="D10" s="5" t="str">
        <f aca="false">Questions!L10</f>
        <v>C</v>
      </c>
      <c r="E10" s="5" t="str">
        <f aca="false">IF(D10="C","OK","CHECK")</f>
        <v>OK</v>
      </c>
    </row>
    <row r="11" customFormat="false" ht="15" hidden="false" customHeight="false" outlineLevel="0" collapsed="false">
      <c r="A11" s="5" t="s">
        <v>122</v>
      </c>
      <c r="B11" s="5" t="s">
        <v>173</v>
      </c>
      <c r="C11" s="5" t="s">
        <v>111</v>
      </c>
      <c r="D11" s="5" t="str">
        <f aca="false">Questions!L11</f>
        <v>C</v>
      </c>
      <c r="E11" s="5" t="str">
        <f aca="false">IF(D11="C","OK","CHECK")</f>
        <v>OK</v>
      </c>
    </row>
    <row r="12" customFormat="false" ht="15" hidden="false" customHeight="false" outlineLevel="0" collapsed="false">
      <c r="A12" s="5" t="s">
        <v>129</v>
      </c>
      <c r="B12" s="5" t="s">
        <v>175</v>
      </c>
      <c r="C12" s="5" t="s">
        <v>176</v>
      </c>
      <c r="D12" s="5" t="str">
        <f aca="false">Questions!L12</f>
        <v>C</v>
      </c>
      <c r="E12" s="5" t="str">
        <f aca="false">IF(D12="C","OK","CHECK")</f>
        <v>OK</v>
      </c>
    </row>
    <row r="13" customFormat="false" ht="23.85" hidden="false" customHeight="false" outlineLevel="0" collapsed="false">
      <c r="A13" s="5" t="s">
        <v>140</v>
      </c>
      <c r="B13" s="5" t="s">
        <v>177</v>
      </c>
      <c r="C13" s="5" t="s">
        <v>178</v>
      </c>
      <c r="D13" s="5" t="str">
        <f aca="false">Questions!L13</f>
        <v>A</v>
      </c>
      <c r="E13" s="5" t="str">
        <f aca="false">IF(D13="A","OK","CHECK")</f>
        <v>OK</v>
      </c>
    </row>
    <row r="14" customFormat="false" ht="23.85" hidden="false" customHeight="false" outlineLevel="0" collapsed="false">
      <c r="A14" s="5" t="s">
        <v>147</v>
      </c>
      <c r="B14" s="5" t="s">
        <v>179</v>
      </c>
      <c r="C14" s="5" t="s">
        <v>180</v>
      </c>
      <c r="D14" s="5" t="str">
        <f aca="false">Questions!L14</f>
        <v>D</v>
      </c>
      <c r="E14" s="5" t="str">
        <f aca="false">IF(D14="D","OK","CHECK")</f>
        <v>OK</v>
      </c>
    </row>
    <row r="15" customFormat="false" ht="15" hidden="false" customHeight="false" outlineLevel="0" collapsed="false">
      <c r="A15" s="5" t="s">
        <v>153</v>
      </c>
      <c r="B15" s="5" t="s">
        <v>181</v>
      </c>
      <c r="C15" s="5" t="s">
        <v>176</v>
      </c>
      <c r="D15" s="5" t="str">
        <f aca="false">Questions!L15</f>
        <v>C</v>
      </c>
      <c r="E15" s="5" t="str">
        <f aca="false">IF(D15="C","OK","CHECK")</f>
        <v>OK</v>
      </c>
    </row>
    <row r="16" customFormat="false" ht="15" hidden="false" customHeight="false" outlineLevel="0" collapsed="false">
      <c r="A16" s="5" t="s">
        <v>157</v>
      </c>
      <c r="B16" s="5" t="s">
        <v>182</v>
      </c>
      <c r="C16" s="5" t="s">
        <v>183</v>
      </c>
      <c r="D16" s="5" t="str">
        <f aca="false">Questions!L16</f>
        <v>D</v>
      </c>
      <c r="E16" s="5" t="str">
        <f aca="false">IF(D16="D","OK","CHECK")</f>
        <v>OK</v>
      </c>
    </row>
    <row r="18" customFormat="false" ht="15" hidden="false" customHeight="false" outlineLevel="0" collapsed="false">
      <c r="A18" s="9"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6"/>
    <col collapsed="false" customWidth="true" hidden="false" outlineLevel="0" max="4" min="4" style="0" width="60"/>
    <col collapsed="false" customWidth="true" hidden="false" outlineLevel="0" max="5" min="5" style="0" width="55"/>
  </cols>
  <sheetData>
    <row r="1" customFormat="false" ht="17.35" hidden="false" customHeight="false" outlineLevel="0" collapsed="false">
      <c r="A1" s="1" t="s">
        <v>185</v>
      </c>
    </row>
    <row r="3" customFormat="false" ht="15" hidden="false" customHeight="false" outlineLevel="0" collapsed="false">
      <c r="A3" s="7" t="s">
        <v>186</v>
      </c>
    </row>
    <row r="4" customFormat="false" ht="15" hidden="false" customHeight="true" outlineLevel="0" collapsed="false">
      <c r="A4" s="10" t="s">
        <v>187</v>
      </c>
      <c r="B4" s="10"/>
      <c r="C4" s="10"/>
      <c r="D4" s="10"/>
      <c r="E4" s="10"/>
    </row>
    <row r="5" customFormat="false" ht="15" hidden="false" customHeight="true" outlineLevel="0" collapsed="false">
      <c r="A5" s="10" t="s">
        <v>188</v>
      </c>
      <c r="B5" s="10"/>
      <c r="C5" s="10"/>
      <c r="D5" s="10"/>
      <c r="E5" s="10"/>
    </row>
    <row r="6" customFormat="false" ht="15" hidden="false" customHeight="true" outlineLevel="0" collapsed="false">
      <c r="A6" s="10" t="s">
        <v>189</v>
      </c>
      <c r="B6" s="10"/>
      <c r="C6" s="10"/>
      <c r="D6" s="10"/>
      <c r="E6" s="10"/>
    </row>
    <row r="7" customFormat="false" ht="15" hidden="false" customHeight="true" outlineLevel="0" collapsed="false">
      <c r="A7" s="10" t="s">
        <v>190</v>
      </c>
      <c r="B7" s="10"/>
      <c r="C7" s="10"/>
      <c r="D7" s="10"/>
      <c r="E7" s="10"/>
    </row>
    <row r="8" customFormat="false" ht="15" hidden="false" customHeight="true" outlineLevel="0" collapsed="false">
      <c r="A8" s="10" t="s">
        <v>191</v>
      </c>
      <c r="B8" s="10"/>
      <c r="C8" s="10"/>
      <c r="D8" s="10"/>
      <c r="E8" s="10"/>
    </row>
    <row r="9" customFormat="false" ht="15" hidden="false" customHeight="true" outlineLevel="0" collapsed="false">
      <c r="A9" s="10" t="s">
        <v>192</v>
      </c>
      <c r="B9" s="10"/>
      <c r="C9" s="10"/>
      <c r="D9" s="10"/>
      <c r="E9" s="10"/>
    </row>
    <row r="11" customFormat="false" ht="15" hidden="false" customHeight="false" outlineLevel="0" collapsed="false">
      <c r="A11" s="7" t="s">
        <v>193</v>
      </c>
    </row>
    <row r="12" customFormat="false" ht="15" hidden="false" customHeight="false" outlineLevel="0" collapsed="false">
      <c r="A12" s="8" t="s">
        <v>194</v>
      </c>
      <c r="B12" s="11" t="n">
        <v>12</v>
      </c>
      <c r="C12" s="9" t="s">
        <v>195</v>
      </c>
    </row>
    <row r="13" customFormat="false" ht="15" hidden="false" customHeight="false" outlineLevel="0" collapsed="false">
      <c r="A13" s="8" t="s">
        <v>162</v>
      </c>
      <c r="B13" s="7" t="n">
        <f aca="false">Questions!$B$19</f>
        <v>15</v>
      </c>
    </row>
    <row r="14" customFormat="false" ht="15" hidden="false" customHeight="false" outlineLevel="0" collapsed="false">
      <c r="A14" s="8" t="s">
        <v>196</v>
      </c>
      <c r="B14" s="12" t="n">
        <f aca="false">IF(B13=0,0,B12/B13)</f>
        <v>0.8</v>
      </c>
    </row>
    <row r="15" customFormat="false" ht="15" hidden="false" customHeight="false" outlineLevel="0" collapsed="false">
      <c r="A15" s="8" t="s">
        <v>197</v>
      </c>
      <c r="B15" s="7" t="str">
        <f aca="false">IF(B14&gt;=$A$20,$B$20,IF(B14&gt;=$A$21,$B$21,IF(B14&gt;=$A$22,$B$22,$B$23)))</f>
        <v>Good</v>
      </c>
    </row>
    <row r="18" customFormat="false" ht="15" hidden="false" customHeight="false" outlineLevel="0" collapsed="false">
      <c r="A18" s="7" t="s">
        <v>198</v>
      </c>
    </row>
    <row r="19" customFormat="false" ht="15" hidden="false" customHeight="false" outlineLevel="0" collapsed="false">
      <c r="A19" s="4" t="s">
        <v>199</v>
      </c>
      <c r="B19" s="4" t="s">
        <v>197</v>
      </c>
      <c r="C19" s="4" t="s">
        <v>200</v>
      </c>
      <c r="D19" s="4" t="s">
        <v>201</v>
      </c>
      <c r="E19" s="4" t="s">
        <v>202</v>
      </c>
    </row>
    <row r="20" customFormat="false" ht="23.85" hidden="false" customHeight="false" outlineLevel="0" collapsed="false">
      <c r="A20" s="13" t="n">
        <v>0.93</v>
      </c>
      <c r="B20" s="5" t="s">
        <v>203</v>
      </c>
      <c r="C20" s="5" t="s">
        <v>204</v>
      </c>
      <c r="D20" s="5" t="s">
        <v>205</v>
      </c>
      <c r="E20" s="5" t="s">
        <v>206</v>
      </c>
    </row>
    <row r="21" customFormat="false" ht="23.85" hidden="false" customHeight="false" outlineLevel="0" collapsed="false">
      <c r="A21" s="13" t="n">
        <v>0.73</v>
      </c>
      <c r="B21" s="5" t="s">
        <v>207</v>
      </c>
      <c r="C21" s="5" t="s">
        <v>208</v>
      </c>
      <c r="D21" s="5" t="s">
        <v>209</v>
      </c>
      <c r="E21" s="5" t="s">
        <v>210</v>
      </c>
    </row>
    <row r="22" customFormat="false" ht="23.85" hidden="false" customHeight="false" outlineLevel="0" collapsed="false">
      <c r="A22" s="13" t="n">
        <v>0.53</v>
      </c>
      <c r="B22" s="5" t="s">
        <v>211</v>
      </c>
      <c r="C22" s="5" t="s">
        <v>212</v>
      </c>
      <c r="D22" s="5" t="s">
        <v>213</v>
      </c>
      <c r="E22" s="5" t="s">
        <v>214</v>
      </c>
    </row>
    <row r="23" customFormat="false" ht="23.85" hidden="false" customHeight="false" outlineLevel="0" collapsed="false">
      <c r="A23" s="13" t="n">
        <v>0</v>
      </c>
      <c r="B23" s="5" t="s">
        <v>215</v>
      </c>
      <c r="C23" s="5" t="s">
        <v>216</v>
      </c>
      <c r="D23" s="5" t="s">
        <v>217</v>
      </c>
      <c r="E23" s="5" t="s">
        <v>218</v>
      </c>
    </row>
    <row r="26" customFormat="false" ht="15" hidden="false" customHeight="false" outlineLevel="0" collapsed="false">
      <c r="A26" s="7" t="s">
        <v>219</v>
      </c>
    </row>
    <row r="27" customFormat="false" ht="26.85" hidden="false" customHeight="false" outlineLevel="0" collapsed="false">
      <c r="A27" s="4" t="s">
        <v>29</v>
      </c>
      <c r="B27" s="4" t="s">
        <v>220</v>
      </c>
      <c r="C27" s="4" t="s">
        <v>221</v>
      </c>
      <c r="D27" s="4" t="s">
        <v>222</v>
      </c>
      <c r="E27" s="4" t="s">
        <v>223</v>
      </c>
    </row>
    <row r="28" customFormat="false" ht="102.2" hidden="false" customHeight="false" outlineLevel="0" collapsed="false">
      <c r="A28" s="5" t="s">
        <v>44</v>
      </c>
      <c r="B28" s="5" t="s">
        <v>224</v>
      </c>
      <c r="C28" s="5" t="s">
        <v>225</v>
      </c>
      <c r="D28" s="5" t="s">
        <v>226</v>
      </c>
      <c r="E28" s="5" t="s">
        <v>227</v>
      </c>
    </row>
    <row r="29" customFormat="false" ht="91" hidden="false" customHeight="false" outlineLevel="0" collapsed="false">
      <c r="A29" s="5" t="s">
        <v>90</v>
      </c>
      <c r="B29" s="5" t="s">
        <v>228</v>
      </c>
      <c r="C29" s="5" t="s">
        <v>229</v>
      </c>
      <c r="D29" s="5" t="s">
        <v>230</v>
      </c>
      <c r="E29" s="5" t="s">
        <v>231</v>
      </c>
    </row>
    <row r="30" customFormat="false" ht="91" hidden="false" customHeight="false" outlineLevel="0" collapsed="false">
      <c r="A30" s="5" t="s">
        <v>130</v>
      </c>
      <c r="B30" s="5" t="s">
        <v>232</v>
      </c>
      <c r="C30" s="5" t="s">
        <v>233</v>
      </c>
      <c r="D30" s="5" t="s">
        <v>234</v>
      </c>
      <c r="E30" s="5" t="s">
        <v>235</v>
      </c>
    </row>
    <row r="32" customFormat="false" ht="15" hidden="false" customHeight="false" outlineLevel="0" collapsed="false">
      <c r="A32" s="9" t="s">
        <v>236</v>
      </c>
    </row>
  </sheetData>
  <mergeCells count="6">
    <mergeCell ref="A4:E4"/>
    <mergeCell ref="A5:E5"/>
    <mergeCell ref="A6:E6"/>
    <mergeCell ref="A7:E7"/>
    <mergeCell ref="A8:E8"/>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6"/>
    <col collapsed="false" customWidth="true" hidden="false" outlineLevel="0" max="3" min="3" style="0" width="34"/>
    <col collapsed="false" customWidth="true" hidden="false" outlineLevel="0" max="4" min="4" style="0" width="60"/>
    <col collapsed="false" customWidth="true" hidden="false" outlineLevel="0" max="5" min="5" style="0" width="50"/>
  </cols>
  <sheetData>
    <row r="1" customFormat="false" ht="15" hidden="false" customHeight="false" outlineLevel="0" collapsed="false">
      <c r="A1" s="4" t="s">
        <v>237</v>
      </c>
      <c r="B1" s="4" t="s">
        <v>238</v>
      </c>
      <c r="C1" s="4" t="s">
        <v>239</v>
      </c>
      <c r="D1" s="4" t="s">
        <v>240</v>
      </c>
      <c r="E1" s="4" t="s">
        <v>241</v>
      </c>
    </row>
    <row r="2" customFormat="false" ht="23.85" hidden="false" customHeight="false" outlineLevel="0" collapsed="false">
      <c r="A2" s="5" t="s">
        <v>242</v>
      </c>
      <c r="B2" s="5" t="s">
        <v>243</v>
      </c>
      <c r="C2" s="5" t="s">
        <v>244</v>
      </c>
      <c r="D2" s="5" t="s">
        <v>245</v>
      </c>
      <c r="E2" s="5" t="s">
        <v>246</v>
      </c>
    </row>
    <row r="3" customFormat="false" ht="23.85" hidden="false" customHeight="false" outlineLevel="0" collapsed="false">
      <c r="A3" s="5" t="s">
        <v>247</v>
      </c>
      <c r="B3" s="5" t="s">
        <v>248</v>
      </c>
      <c r="C3" s="5" t="s">
        <v>249</v>
      </c>
      <c r="D3" s="5" t="s">
        <v>250</v>
      </c>
      <c r="E3" s="5" t="s">
        <v>251</v>
      </c>
    </row>
    <row r="4" customFormat="false" ht="23.85" hidden="false" customHeight="false" outlineLevel="0" collapsed="false">
      <c r="A4" s="5" t="s">
        <v>252</v>
      </c>
      <c r="B4" s="5" t="s">
        <v>253</v>
      </c>
      <c r="C4" s="5" t="s">
        <v>254</v>
      </c>
      <c r="D4" s="5" t="s">
        <v>255</v>
      </c>
      <c r="E4" s="5" t="s">
        <v>256</v>
      </c>
    </row>
    <row r="5" customFormat="false" ht="23.85" hidden="false" customHeight="false" outlineLevel="0" collapsed="false">
      <c r="A5" s="5" t="s">
        <v>257</v>
      </c>
      <c r="B5" s="5" t="s">
        <v>258</v>
      </c>
      <c r="C5" s="5" t="s">
        <v>259</v>
      </c>
      <c r="D5" s="5" t="s">
        <v>260</v>
      </c>
      <c r="E5" s="5" t="s">
        <v>261</v>
      </c>
    </row>
    <row r="6" customFormat="false" ht="23.85" hidden="false" customHeight="false" outlineLevel="0" collapsed="false">
      <c r="A6" s="5" t="s">
        <v>262</v>
      </c>
      <c r="B6" s="5" t="s">
        <v>263</v>
      </c>
      <c r="C6" s="5" t="s">
        <v>264</v>
      </c>
      <c r="D6" s="5" t="s">
        <v>265</v>
      </c>
      <c r="E6" s="5" t="s">
        <v>266</v>
      </c>
    </row>
    <row r="7" customFormat="false" ht="23.85" hidden="false" customHeight="false" outlineLevel="0" collapsed="false">
      <c r="A7" s="5" t="s">
        <v>267</v>
      </c>
      <c r="B7" s="5" t="s">
        <v>268</v>
      </c>
      <c r="C7" s="5" t="s">
        <v>269</v>
      </c>
      <c r="D7" s="5" t="s">
        <v>270</v>
      </c>
      <c r="E7" s="5" t="s">
        <v>271</v>
      </c>
    </row>
    <row r="8" customFormat="false" ht="23.85" hidden="false" customHeight="false" outlineLevel="0" collapsed="false">
      <c r="A8" s="5" t="s">
        <v>272</v>
      </c>
      <c r="B8" s="5" t="s">
        <v>273</v>
      </c>
      <c r="C8" s="5" t="s">
        <v>269</v>
      </c>
      <c r="D8" s="5" t="s">
        <v>274</v>
      </c>
      <c r="E8" s="5" t="s">
        <v>275</v>
      </c>
    </row>
    <row r="9" customFormat="false" ht="23.85" hidden="false" customHeight="false" outlineLevel="0" collapsed="false">
      <c r="A9" s="5" t="s">
        <v>276</v>
      </c>
      <c r="B9" s="5" t="s">
        <v>277</v>
      </c>
      <c r="C9" s="5" t="s">
        <v>278</v>
      </c>
      <c r="D9" s="5" t="s">
        <v>279</v>
      </c>
      <c r="E9" s="5" t="s">
        <v>280</v>
      </c>
    </row>
    <row r="11" customFormat="false" ht="15" hidden="false" customHeight="false" outlineLevel="0" collapsed="false">
      <c r="A11" s="9"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2026-09-16T01:23:28Z</dcterms:created>
  <dc:creator>openpyxl</dc:creator>
  <dc:description/>
  <dc:language>en-US</dc:language>
  <cp:lastModifiedBy/>
  <dcterms:modified xsi:type="dcterms:W3CDTF">2026-09-16T01:23:28Z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
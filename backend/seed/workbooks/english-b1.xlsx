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Questions" sheetId="2" state="visible" r:id="rId4"/>
    <sheet name="Listening transcripts" sheetId="3" state="visible" r:id="rId5"/>
    <sheet name="Rubric" sheetId="4" state="visible" r:id="rId6"/>
    <sheet name="Open data 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<sst xmlns="http://schemas.openxmlformats.org/spreadsheetml/2006/main" count="421" uniqueCount="334">
  <si>
    <t xml:space="preserve">English B1 (Intermediate) – Skills Assessment</t>
  </si>
  <si>
    <t xml:space="preserve">Test name</t>
  </si>
  <si>
    <t xml:space="preserve">English B1 (Intermediate)</t>
  </si>
  <si>
    <t xml:space="preserve">Duration</t>
  </si>
  <si>
    <t xml:space="preserve">10 minutes</t>
  </si>
  <si>
    <t xml:space="preserve">Number of questions</t>
  </si>
  <si>
    <t xml:space="preserve">Question format</t>
  </si>
  <si>
    <t xml:space="preserve">Multiple choice (single answer) – fill-in-the-blank, sentence selection, true/false, short reading passages, short audio clips</t>
  </si>
  <si>
    <t xml:space="preserve">Level</t>
  </si>
  <si>
    <t xml:space="preserve">Intermediate – CEFR B1</t>
  </si>
  <si>
    <t xml:space="preserve">Language of instructions</t>
  </si>
  <si>
    <t xml:space="preserve">English (question stems can be localised; the English target content stays in English)</t>
  </si>
  <si>
    <t xml:space="preserve">Overview</t>
  </si>
  <si>
    <t xml:space="preserve">The English B1 (Intermediate) test evaluates a candidate's English proficiency at the B1 level of the CEFR framework. It helps you hire employees who can communicate in English on subjects commonly encountered at work and in everyday life.</t>
  </si>
  <si>
    <t xml:space="preserve">Skills covered</t>
  </si>
  <si>
    <t xml:space="preserve">1. Basic grammar and vocabulary
2. Sentence composition
3. Reading comprehension
4. Listening comprehension</t>
  </si>
  <si>
    <t xml:space="preserve">Relevant for</t>
  </si>
  <si>
    <t xml:space="preserve">Customer support agents, sales representatives, office/admin staff, and any employee who needs an intermediate level of English to perform well in their role.</t>
  </si>
  <si>
    <t xml:space="preserve">Description</t>
  </si>
  <si>
    <t xml:space="preserve">Employees who can communicate in English at the intermediate level improve a company's internal and external communication by removing language barriers and improving the flow of information among colleagues and to and from customers.
The test evaluates a candidate's ability to communicate at the B1 level of the Common European Framework of Reference (CEFR) for Languages across four areas: grammar and vocabulary, sentence composition, reading comprehension, and listening comprehension.
Candidates at B1 can handle daily workplace situations with customers, colleagues and other stakeholders. The texts, sentences and audio in this test mimic real-life situations at work and in everyday life. Candidates who score well can understand simple, connected sentences on familiar topics, follow short spoken instructions, and produce grammatically correct sentences about routine matters.</t>
  </si>
  <si>
    <t xml:space="preserve">CEFR B1 'can-do' anchors</t>
  </si>
  <si>
    <t xml:space="preserve">• Can understand the main points of clear standard input on familiar matters regularly encountered in work, school, leisure, etc.
• Can deal with most situations likely to arise while travelling.
• Can produce simple connected text on familiar topics.
• Can describe experiences, events, plans and give brief reasons and explanations.
(Source: Council of Europe, CEFR Global Scale – freely available.)</t>
  </si>
  <si>
    <t xml:space="preserve">Question distribution</t>
  </si>
  <si>
    <t xml:space="preserve">4 questions per skill area (see 'Questions' sheet, column B). Randomise question order and option order at delivery time.</t>
  </si>
  <si>
    <t xml:space="preserve">Timing guidance</t>
  </si>
  <si>
    <t xml:space="preserve">10 min ÷ 16 questions ≈ 37 seconds per question. Listening clips are 12–19 seconds; allow one replay.</t>
  </si>
  <si>
    <t xml:space="preserve">Scoring</t>
  </si>
  <si>
    <t xml:space="preserve">1 point per correct answer, no negative marking. Score = correct ÷ 16. See 'Rubric' sheet for bands.</t>
  </si>
  <si>
    <t xml:space="preserve">ID</t>
  </si>
  <si>
    <t xml:space="preserve">Skill area</t>
  </si>
  <si>
    <t xml:space="preserve">Question type</t>
  </si>
  <si>
    <t xml:space="preserve">Passage / context (shown to candidate)</t>
  </si>
  <si>
    <t xml:space="preserve">Question stem</t>
  </si>
  <si>
    <t xml:space="preserve">Attachment</t>
  </si>
  <si>
    <t xml:space="preserve">Option A</t>
  </si>
  <si>
    <t xml:space="preserve">Option B</t>
  </si>
  <si>
    <t xml:space="preserve">Option C</t>
  </si>
  <si>
    <t xml:space="preserve">Option D</t>
  </si>
  <si>
    <t xml:space="preserve">Key</t>
  </si>
  <si>
    <t xml:space="preserve">Key answer (text)</t>
  </si>
  <si>
    <t xml:space="preserve">Rationale / distractor notes</t>
  </si>
  <si>
    <t xml:space="preserve">Difficulty</t>
  </si>
  <si>
    <t xml:space="preserve">Q1</t>
  </si>
  <si>
    <t xml:space="preserve">Grammar &amp; vocabulary</t>
  </si>
  <si>
    <t xml:space="preserve">Fill in the blank</t>
  </si>
  <si>
    <t xml:space="preserve">Maria has worked at the bank _______ 2019.</t>
  </si>
  <si>
    <t xml:space="preserve">None</t>
  </si>
  <si>
    <t xml:space="preserve">since</t>
  </si>
  <si>
    <t xml:space="preserve">for</t>
  </si>
  <si>
    <t xml:space="preserve">from</t>
  </si>
  <si>
    <t xml:space="preserve">during</t>
  </si>
  <si>
    <t xml:space="preserve">A</t>
  </si>
  <si>
    <t xml:space="preserve">Present perfect + point in time → 'since'. 'For' needs a duration (for 5 years); 'from' needs 'to/until'; 'during' takes a period noun, not a year.</t>
  </si>
  <si>
    <t xml:space="preserve">Easy</t>
  </si>
  <si>
    <t xml:space="preserve">Q2</t>
  </si>
  <si>
    <t xml:space="preserve">I _______ this report three times already, and I still can't find the mistake.</t>
  </si>
  <si>
    <t xml:space="preserve">am reading</t>
  </si>
  <si>
    <t xml:space="preserve">have read</t>
  </si>
  <si>
    <t xml:space="preserve">read</t>
  </si>
  <si>
    <t xml:space="preserve">will read</t>
  </si>
  <si>
    <t xml:space="preserve">B</t>
  </si>
  <si>
    <t xml:space="preserve">'Already' + completed repeated action up to now → present perfect. Progressive and future clash with 'already'; simple past is unnatural with 'already... still'.</t>
  </si>
  <si>
    <t xml:space="preserve">Q3</t>
  </si>
  <si>
    <t xml:space="preserve">You _______ wear a helmet in the warehouse. It's a safety rule.</t>
  </si>
  <si>
    <t xml:space="preserve">might</t>
  </si>
  <si>
    <t xml:space="preserve">can</t>
  </si>
  <si>
    <t xml:space="preserve">must</t>
  </si>
  <si>
    <t xml:space="preserve">would</t>
  </si>
  <si>
    <t xml:space="preserve">C</t>
  </si>
  <si>
    <t xml:space="preserve">Obligation/rule → 'must'. 'Might/can/would' express possibility, ability or hypothetical, not obligation.</t>
  </si>
  <si>
    <t xml:space="preserve">Q4</t>
  </si>
  <si>
    <t xml:space="preserve">Fill in the blank (vocabulary)</t>
  </si>
  <si>
    <t xml:space="preserve">Our team was very _______ last quarter – we finished every project on time.</t>
  </si>
  <si>
    <t xml:space="preserve">expensive</t>
  </si>
  <si>
    <t xml:space="preserve">patient</t>
  </si>
  <si>
    <t xml:space="preserve">careful</t>
  </si>
  <si>
    <t xml:space="preserve">productive</t>
  </si>
  <si>
    <t xml:space="preserve">D</t>
  </si>
  <si>
    <t xml:space="preserve">Context (finished every project on time) points to 'productive'. Others are plausible adjectives for a team but do not match the evidence given.</t>
  </si>
  <si>
    <t xml:space="preserve">Medium</t>
  </si>
  <si>
    <t xml:space="preserve">Q5</t>
  </si>
  <si>
    <t xml:space="preserve">Sentence composition</t>
  </si>
  <si>
    <t xml:space="preserve">Choose the correct sentence</t>
  </si>
  <si>
    <t xml:space="preserve">Which sentence is grammatically correct?</t>
  </si>
  <si>
    <t xml:space="preserve">Yesterday I have sent the invoice to the client.</t>
  </si>
  <si>
    <t xml:space="preserve">Yesterday I sent the invoice to the client.</t>
  </si>
  <si>
    <t xml:space="preserve">Yesterday I send the invoice to the client.</t>
  </si>
  <si>
    <t xml:space="preserve">Yesterday I am sending the invoice to the client.</t>
  </si>
  <si>
    <t xml:space="preserve">Finished past time marker ('yesterday') requires simple past. A is a common B1 error (present perfect with a finished time).</t>
  </si>
  <si>
    <t xml:space="preserve">Q6</t>
  </si>
  <si>
    <t xml:space="preserve">Word order</t>
  </si>
  <si>
    <t xml:space="preserve">Choose the sentence with the correct word order.</t>
  </si>
  <si>
    <t xml:space="preserve">I was late for work because the train was delayed.</t>
  </si>
  <si>
    <t xml:space="preserve">I was late for work because was delayed the train.</t>
  </si>
  <si>
    <t xml:space="preserve">Because the train delayed was, I was late for work.</t>
  </si>
  <si>
    <t xml:space="preserve">I for work was late because the train was delayed.</t>
  </si>
  <si>
    <t xml:space="preserve">Tests subject–verb–object order inside a 'because' clause and adverbial placement.</t>
  </si>
  <si>
    <t xml:space="preserve">Q7</t>
  </si>
  <si>
    <t xml:space="preserve">Combine two sentences</t>
  </si>
  <si>
    <t xml:space="preserve">Two sentences: 'Tom finished the report.'  'Then he went home.'</t>
  </si>
  <si>
    <t xml:space="preserve">Which sentence combines the two ideas correctly?</t>
  </si>
  <si>
    <t xml:space="preserve">Tom finished the report after he went home.</t>
  </si>
  <si>
    <t xml:space="preserve">Before Tom finished the report, he went home.</t>
  </si>
  <si>
    <t xml:space="preserve">After Tom finished the report, he went home.</t>
  </si>
  <si>
    <t xml:space="preserve">Tom went home before finish the report.</t>
  </si>
  <si>
    <t xml:space="preserve">Tests sequencing connectors (after/before) and clause form. A and B reverse the order of events; D has a verb-form error ('before finish').</t>
  </si>
  <si>
    <t xml:space="preserve">Q8</t>
  </si>
  <si>
    <t xml:space="preserve">Best response in a dialogue</t>
  </si>
  <si>
    <t xml:space="preserve">A: 'Could you send me the file by 3 p.m. today?'</t>
  </si>
  <si>
    <t xml:space="preserve">Choose the best reply from B.</t>
  </si>
  <si>
    <t xml:space="preserve">Yes, I sent it tomorrow.</t>
  </si>
  <si>
    <t xml:space="preserve">Sure, I'll send it right away.</t>
  </si>
  <si>
    <t xml:space="preserve">No, I'm send it now.</t>
  </si>
  <si>
    <t xml:space="preserve">Sure, I send it yesterday.</t>
  </si>
  <si>
    <t xml:space="preserve">Correct future/spontaneous-decision form ('I'll') and appropriate register. A and D mix tenses with the wrong time word; C has a broken progressive.</t>
  </si>
  <si>
    <t xml:space="preserve">Q9</t>
  </si>
  <si>
    <t xml:space="preserve">Reading comprehension</t>
  </si>
  <si>
    <t xml:space="preserve">True / False</t>
  </si>
  <si>
    <t xml:space="preserve">Ben has been on the phone with customers all morning and could really use a break.</t>
  </si>
  <si>
    <t xml:space="preserve">True or False: Ben would like to stop working for a short time.</t>
  </si>
  <si>
    <t xml:space="preserve">True</t>
  </si>
  <si>
    <t xml:space="preserve">False</t>
  </si>
  <si>
    <t xml:space="preserve">'Could use a break' = wants a short rest. Tests understanding of an idiomatic B1 expression, mirroring the 'isn't feeling up to' preview item.</t>
  </si>
  <si>
    <t xml:space="preserve">Q10</t>
  </si>
  <si>
    <t xml:space="preserve">Multiple choice (short email)</t>
  </si>
  <si>
    <t xml:space="preserve">Hi all,
The office kitchen will be closed on Friday for cleaning. Please take any food out of the fridge by Thursday evening. Anything left in the fridge will be thrown away.
Thanks,
Facilities Team</t>
  </si>
  <si>
    <t xml:space="preserve">What will happen to food that is still in the fridge on Friday?</t>
  </si>
  <si>
    <t xml:space="preserve">It will be moved to another kitchen.</t>
  </si>
  <si>
    <t xml:space="preserve">It will be thrown away.</t>
  </si>
  <si>
    <t xml:space="preserve">It will be returned to its owner.</t>
  </si>
  <si>
    <t xml:space="preserve">It will be kept until Monday.</t>
  </si>
  <si>
    <t xml:space="preserve">Direct comprehension of a workplace notice; distractors are plausible actions not stated in the text.</t>
  </si>
  <si>
    <t xml:space="preserve">Q11</t>
  </si>
  <si>
    <t xml:space="preserve">Multiple choice (notice)</t>
  </si>
  <si>
    <t xml:space="preserve">SHOP NOTICE – Sale ends Sunday. All items 30% off. Returns accepted within 14 days with a receipt.</t>
  </si>
  <si>
    <t xml:space="preserve">A customer bought a jacket during the sale and wants to return it three weeks later. Which statement is true?</t>
  </si>
  <si>
    <t xml:space="preserve">They can return it if they have the receipt.</t>
  </si>
  <si>
    <t xml:space="preserve">They can return it but will only get 30% back.</t>
  </si>
  <si>
    <t xml:space="preserve">They cannot return it because too much time has passed.</t>
  </si>
  <si>
    <t xml:space="preserve">They can exchange it for another item.</t>
  </si>
  <si>
    <t xml:space="preserve">Requires combining two pieces of information (14-day limit vs. three weeks). A is the key distractor – receipt alone is not enough.</t>
  </si>
  <si>
    <t xml:space="preserve">Hard</t>
  </si>
  <si>
    <t xml:space="preserve">Q12</t>
  </si>
  <si>
    <t xml:space="preserve">Multiple choice (short passage)</t>
  </si>
  <si>
    <t xml:space="preserve">Priya works from home on Mondays and Wednesdays. On the other days she goes to the office, which is a 40-minute drive from her flat. She prefers working from home because she can start earlier and avoid the traffic.</t>
  </si>
  <si>
    <t xml:space="preserve">Why does Priya prefer working from home?</t>
  </si>
  <si>
    <t xml:space="preserve">The office is too far away.</t>
  </si>
  <si>
    <t xml:space="preserve">She can begin work earlier.</t>
  </si>
  <si>
    <t xml:space="preserve">She does not have a car.</t>
  </si>
  <si>
    <t xml:space="preserve">She works fewer hours.</t>
  </si>
  <si>
    <t xml:space="preserve">Tests reading for a stated reason. A is inferable but not the reason given; C and D are not in the text.</t>
  </si>
  <si>
    <t xml:space="preserve">Q13</t>
  </si>
  <si>
    <t xml:space="preserve">Listening comprehension</t>
  </si>
  <si>
    <t xml:space="preserve">Audio + multiple choice</t>
  </si>
  <si>
    <t xml:space="preserve">When is the client meeting now?</t>
  </si>
  <si>
    <t xml:space="preserve">listening_Q13.mp3 (12 s)</t>
  </si>
  <si>
    <t xml:space="preserve">Tuesday at 10</t>
  </si>
  <si>
    <t xml:space="preserve">Wednesday at 10</t>
  </si>
  <si>
    <t xml:space="preserve">Tuesday at 2</t>
  </si>
  <si>
    <t xml:space="preserve">Wednesday at 2</t>
  </si>
  <si>
    <t xml:space="preserve">Listening for a change of arrangement. Distractors recombine the old and new day/time.</t>
  </si>
  <si>
    <t xml:space="preserve">Q14</t>
  </si>
  <si>
    <t xml:space="preserve">What will Sam do tomorrow?</t>
  </si>
  <si>
    <t xml:space="preserve">listening_Q14.mp3 (17 s)</t>
  </si>
  <si>
    <t xml:space="preserve">Leave the package with a neighbour</t>
  </si>
  <si>
    <t xml:space="preserve">Try to deliver the package again in the morning</t>
  </si>
  <si>
    <t xml:space="preserve">Send the package back to the sender</t>
  </si>
  <si>
    <t xml:space="preserve">Call the customer at nine o'clock</t>
  </si>
  <si>
    <t xml:space="preserve">Voicemail comprehension – identifying the speaker's next action from a short message.</t>
  </si>
  <si>
    <t xml:space="preserve">Q15</t>
  </si>
  <si>
    <t xml:space="preserve">Audio + multiple choice (numbers)</t>
  </si>
  <si>
    <t xml:space="preserve">How many tickets were sold in total over the weekend?</t>
  </si>
  <si>
    <t xml:space="preserve">listening_Q15.mp3 (12 s)</t>
  </si>
  <si>
    <t xml:space="preserve">55</t>
  </si>
  <si>
    <t xml:space="preserve">60</t>
  </si>
  <si>
    <t xml:space="preserve">75</t>
  </si>
  <si>
    <t xml:space="preserve">90</t>
  </si>
  <si>
    <t xml:space="preserve">40 + 35 = 75. Distractor 60 = 75 − 15 (refunds are a red herring); 55 = 40 + 15. Mirrors the 'customers yesterday and today' preview item.</t>
  </si>
  <si>
    <t xml:space="preserve">Q16</t>
  </si>
  <si>
    <t xml:space="preserve">What should the passenger do?</t>
  </si>
  <si>
    <t xml:space="preserve">listening_Q16.mp3 (14 s)</t>
  </si>
  <si>
    <t xml:space="preserve">Stay on this train</t>
  </si>
  <si>
    <t xml:space="preserve">Get off at Airport</t>
  </si>
  <si>
    <t xml:space="preserve">Wait for the next train</t>
  </si>
  <si>
    <t xml:space="preserve">Take a bus instead</t>
  </si>
  <si>
    <t xml:space="preserve">Short two-speaker exchange; tests understanding of advice/instructions in a travel situation.</t>
  </si>
  <si>
    <t xml:space="preserve">Summary</t>
  </si>
  <si>
    <t xml:space="preserve">Total questions</t>
  </si>
  <si>
    <t xml:space="preserve">Notes: Key column shows the correct option letter. Options C/D are blank for True/False items. Audio files are supplied separately (see 'Listening transcripts'); attachment filenames match the audio folder.</t>
  </si>
  <si>
    <t xml:space="preserve">Audio file</t>
  </si>
  <si>
    <t xml:space="preserve">Approx. length</t>
  </si>
  <si>
    <t xml:space="preserve">Speaker(s)</t>
  </si>
  <si>
    <t xml:space="preserve">Transcript (do NOT show to candidate)</t>
  </si>
  <si>
    <t xml:space="preserve">Recording notes</t>
  </si>
  <si>
    <t xml:space="preserve">listening_Q13.mp3</t>
  </si>
  <si>
    <t xml:space="preserve">12 s</t>
  </si>
  <si>
    <t xml:space="preserve">1 (office manager)</t>
  </si>
  <si>
    <t xml:space="preserve">Good morning, everyone. Just a quick update. The client meeting has moved from Tuesday at ten to Wednesday at two. It's in the same room as before. Please update your calendars.</t>
  </si>
  <si>
    <t xml:space="preserve">Neutral, clear pace (~140 wpm). Say day and time distinctly.</t>
  </si>
  <si>
    <t xml:space="preserve">listening_Q14.mp3</t>
  </si>
  <si>
    <t xml:space="preserve">17 s</t>
  </si>
  <si>
    <t xml:space="preserve">1 (delivery driver, voicemail)</t>
  </si>
  <si>
    <t xml:space="preserve">Hi, this is Sam from Greenway Deliveries. I tried to deliver your package this morning, but nobody was home. I'll try again tomorrow between nine and twelve. If that doesn't work for you, please call us on 0800 555 210.</t>
  </si>
  <si>
    <t xml:space="preserve">Slight informal tone; phone number is filler, not tested.</t>
  </si>
  <si>
    <t xml:space="preserve">listening_Q15.mp3</t>
  </si>
  <si>
    <t xml:space="preserve">1 (team lead)</t>
  </si>
  <si>
    <t xml:space="preserve">Here are the numbers from the weekend. We sold forty tickets on Saturday and thirty-five on Sunday. Fifteen people asked for a refund, so we still need to process those.</t>
  </si>
  <si>
    <t xml:space="preserve">Numbers must be clearly articulated; 'fifteen' vs 'fifty' risk – stress the second syllable.</t>
  </si>
  <si>
    <t xml:space="preserve">listening_Q16.mp3</t>
  </si>
  <si>
    <t xml:space="preserve">14 s</t>
  </si>
  <si>
    <t xml:space="preserve">2 (passenger, station staff)</t>
  </si>
  <si>
    <t xml:space="preserve">Passenger: Excuse me, does this train stop at Central Station?
Staff: No, sorry, this is the express. It only stops at Airport and Harbour. You need the next train. It leaves in about ten minutes from this platform.</t>
  </si>
  <si>
    <t xml:space="preserve">Two voices recommended (male/female) so the exchange is easy to follow.</t>
  </si>
  <si>
    <t xml:space="preserve">Audio generated with Piper TTS (MIT) using the LibriTTS 'high' voice model (training data CC BY 4.0, commercial use permitted with attribution to the LibriTTS corpus). Speaker IDs: Q13 = 4, Q14 = 11, Q15 = 4, Q16 = 11 (passenger) + 20 (staff). Pace slowed ~20% for B1 listeners, loudness normalised to −18 LUFS. To re-voice a clip, re-run Piper with the transcript above and a different speaker ID, or record a human speaker.</t>
  </si>
  <si>
    <t xml:space="preserve">Assessment rubric – English B1 (Intermediate)</t>
  </si>
  <si>
    <t xml:space="preserve">Scoring rules</t>
  </si>
  <si>
    <t xml:space="preserve">1. 1 point per correct answer; 0 for incorrect, skipped or timed-out items. No negative marking.</t>
  </si>
  <si>
    <t xml:space="preserve">2. Overall score = points ÷ total questions (see cell B12).</t>
  </si>
  <si>
    <t xml:space="preserve">3. Report four sub-scores (one per skill area) alongside the overall score so hiring managers can see a candidate's profile.</t>
  </si>
  <si>
    <t xml:space="preserve">4. Timer: 10 minutes for the whole test. Candidates cannot return to a previous question once submitted.</t>
  </si>
  <si>
    <t xml:space="preserve">5. Randomise question order within each skill block and shuffle option order (except True/False).</t>
  </si>
  <si>
    <t xml:space="preserve">6. Benchmark: compare against your candidate pool median rather than a fixed pass mark where possible.</t>
  </si>
  <si>
    <t xml:space="preserve">Score calculator (enter correct answers in B11)</t>
  </si>
  <si>
    <t xml:space="preserve">Correct answers</t>
  </si>
  <si>
    <t xml:space="preserve">← example value, edit this cell</t>
  </si>
  <si>
    <t xml:space="preserve">Score (%)</t>
  </si>
  <si>
    <t xml:space="preserve">Band</t>
  </si>
  <si>
    <t xml:space="preserve">Score bands</t>
  </si>
  <si>
    <t xml:space="preserve">Min score</t>
  </si>
  <si>
    <t xml:space="preserve">Correct (of 16)</t>
  </si>
  <si>
    <t xml:space="preserve">Interpretation</t>
  </si>
  <si>
    <t xml:space="preserve">Recommended action</t>
  </si>
  <si>
    <t xml:space="preserve">Strong B1 / likely B2</t>
  </si>
  <si>
    <t xml:space="preserve">14–16</t>
  </si>
  <si>
    <t xml:space="preserve">Handles grammar, reading and listening with few errors; likely above B1. Comfortable in customer-facing English roles.</t>
  </si>
  <si>
    <t xml:space="preserve">Progress. Consider the English B2 test if the role needs upper-intermediate fluency.</t>
  </si>
  <si>
    <t xml:space="preserve">Solid B1</t>
  </si>
  <si>
    <t xml:space="preserve">11–13</t>
  </si>
  <si>
    <t xml:space="preserve">Meets the B1 profile: understands connected sentences on familiar topics and produces correct simple sentences with occasional slips.</t>
  </si>
  <si>
    <t xml:space="preserve">Progress. Check sub-scores – a weak listening or reading block may matter for phone vs. email-heavy roles.</t>
  </si>
  <si>
    <t xml:space="preserve">Borderline A2/B1</t>
  </si>
  <si>
    <t xml:space="preserve">8–10</t>
  </si>
  <si>
    <t xml:space="preserve">Understands simple texts and audio but makes frequent grammar errors or misses details in longer items.</t>
  </si>
  <si>
    <t xml:space="preserve">Progress only if the role has limited English exposure or training is available; verify with a short live conversation.</t>
  </si>
  <si>
    <t xml:space="preserve">Below B1</t>
  </si>
  <si>
    <t xml:space="preserve">0–7</t>
  </si>
  <si>
    <t xml:space="preserve">Struggles with intermediate-level input; likely A1–A2.</t>
  </si>
  <si>
    <t xml:space="preserve">Do not progress for roles requiring intermediate English.</t>
  </si>
  <si>
    <t xml:space="preserve">Skill-level rubric (what each block measures at B1)</t>
  </si>
  <si>
    <t xml:space="preserve">Questions</t>
  </si>
  <si>
    <t xml:space="preserve">B1 descriptor</t>
  </si>
  <si>
    <t xml:space="preserve">Weak signal (≤1/4)</t>
  </si>
  <si>
    <t xml:space="preserve">Strong signal (4/4)</t>
  </si>
  <si>
    <t xml:space="preserve">Q1–Q4</t>
  </si>
  <si>
    <t xml:space="preserve">Uses common tenses, modals and everyday work vocabulary with reasonable accuracy.</t>
  </si>
  <si>
    <t xml:space="preserve">Confuses tense/time markers; limited work vocabulary.</t>
  </si>
  <si>
    <t xml:space="preserve">Consistently selects correct forms in familiar contexts.</t>
  </si>
  <si>
    <t xml:space="preserve">Q5–Q8</t>
  </si>
  <si>
    <t xml:space="preserve">Builds simple connected sentences with correct word order and linking words.</t>
  </si>
  <si>
    <t xml:space="preserve">Cannot identify natural word order or sequencing connectors.</t>
  </si>
  <si>
    <t xml:space="preserve">Recognises correct structure and appropriate replies in dialogue.</t>
  </si>
  <si>
    <t xml:space="preserve">Q9–Q12</t>
  </si>
  <si>
    <t xml:space="preserve">Understands short workplace texts (emails, notices) and identifies main points and stated reasons.</t>
  </si>
  <si>
    <t xml:space="preserve">Misreads idioms; picks details that are implied but not stated.</t>
  </si>
  <si>
    <t xml:space="preserve">Combines information across sentences to reach the right conclusion.</t>
  </si>
  <si>
    <t xml:space="preserve">Q13–Q16</t>
  </si>
  <si>
    <t xml:space="preserve">Follows short, clear spoken messages about arrangements, numbers and instructions.</t>
  </si>
  <si>
    <t xml:space="preserve">Loses key details such as day/time or quantities.</t>
  </si>
  <si>
    <t xml:space="preserve">Extracts the required detail and ignores distractor information.</t>
  </si>
  <si>
    <t xml:space="preserve">Legend: blue text / yellow fill = input cells you can edit (band thresholds in A20:A23, correct answers in B12). Black = formulas.</t>
  </si>
  <si>
    <t xml:space="preserve">Resource</t>
  </si>
  <si>
    <t xml:space="preserve">Media type</t>
  </si>
  <si>
    <t xml:space="preserve">Licence</t>
  </si>
  <si>
    <t xml:space="preserve">Use it for</t>
  </si>
  <si>
    <t xml:space="preserve">URL</t>
  </si>
  <si>
    <t xml:space="preserve">Council of Europe – CEFR descriptors (Companion Volume)</t>
  </si>
  <si>
    <t xml:space="preserve">Text (framework)</t>
  </si>
  <si>
    <t xml:space="preserve">Free to use</t>
  </si>
  <si>
    <t xml:space="preserve">Level definitions, 'can-do' statements for rubric and level calibration</t>
  </si>
  <si>
    <t xml:space="preserve">https://www.coe.int/en/web/common-european-framework-reference-languages</t>
  </si>
  <si>
    <t xml:space="preserve">English Profile / English Vocabulary Profile (Cambridge)</t>
  </si>
  <si>
    <t xml:space="preserve">Word lists</t>
  </si>
  <si>
    <t xml:space="preserve">Free online lookup</t>
  </si>
  <si>
    <t xml:space="preserve">Check that target vocabulary is genuinely B1 level</t>
  </si>
  <si>
    <t xml:space="preserve">https://www.englishprofile.org/wordlists</t>
  </si>
  <si>
    <t xml:space="preserve">Tatoeba</t>
  </si>
  <si>
    <t xml:space="preserve">Sentences + native audio</t>
  </si>
  <si>
    <t xml:space="preserve">CC BY 2.0 FR</t>
  </si>
  <si>
    <t xml:space="preserve">Short sentences with recordings for grammar and listening items</t>
  </si>
  <si>
    <t xml:space="preserve">https://tatoeba.org</t>
  </si>
  <si>
    <t xml:space="preserve">Mozilla Common Voice</t>
  </si>
  <si>
    <t xml:space="preserve">Audio clips + transcripts</t>
  </si>
  <si>
    <t xml:space="preserve">CC0</t>
  </si>
  <si>
    <t xml:space="preserve">Authentic, varied-accent short recordings for listening items</t>
  </si>
  <si>
    <t xml:space="preserve">https://commonvoice.mozilla.org</t>
  </si>
  <si>
    <t xml:space="preserve">LibriVox</t>
  </si>
  <si>
    <t xml:space="preserve">Audiobooks (public domain texts)</t>
  </si>
  <si>
    <t xml:space="preserve">Public domain</t>
  </si>
  <si>
    <t xml:space="preserve">Longer listening passages; cut to 10–20 s clips</t>
  </si>
  <si>
    <t xml:space="preserve">https://librivox.org</t>
  </si>
  <si>
    <t xml:space="preserve">Project Gutenberg</t>
  </si>
  <si>
    <t xml:space="preserve">Text</t>
  </si>
  <si>
    <t xml:space="preserve">Reading passages (adapt/simplify to B1)</t>
  </si>
  <si>
    <t xml:space="preserve">https://www.gutenberg.org</t>
  </si>
  <si>
    <t xml:space="preserve">Simple English Wikipedia</t>
  </si>
  <si>
    <t xml:space="preserve">CC BY-SA 4.0</t>
  </si>
  <si>
    <t xml:space="preserve">B1-friendly factual reading passages</t>
  </si>
  <si>
    <t xml:space="preserve">https://simple.wikipedia.org</t>
  </si>
  <si>
    <t xml:space="preserve">Wikimedia Commons</t>
  </si>
  <si>
    <t xml:space="preserve">Images, audio, video</t>
  </si>
  <si>
    <t xml:space="preserve">CC / public domain (varies per file)</t>
  </si>
  <si>
    <t xml:space="preserve">Pictures, signs, maps, short video for visual items</t>
  </si>
  <si>
    <t xml:space="preserve">https://commons.wikimedia.org</t>
  </si>
  <si>
    <t xml:space="preserve">Unsplash / Pexels</t>
  </si>
  <si>
    <t xml:space="preserve">Images, video</t>
  </si>
  <si>
    <t xml:space="preserve">Unsplash &amp; Pexels licences (free commercial use)</t>
  </si>
  <si>
    <t xml:space="preserve">Workplace and everyday-life photos for image-based questions</t>
  </si>
  <si>
    <t xml:space="preserve">https://unsplash.com  |  https://www.pexels.com</t>
  </si>
  <si>
    <t xml:space="preserve">Piper TTS / Coqui TTS</t>
  </si>
  <si>
    <t xml:space="preserve">Text-to-speech engines</t>
  </si>
  <si>
    <t xml:space="preserve">MIT / MPL-2.0 (open source)</t>
  </si>
  <si>
    <t xml:space="preserve">Generate natural listening audio from your own transcripts (Piper used here)</t>
  </si>
  <si>
    <t xml:space="preserve">https://github.com/rhasspy/piper  |  https://github.com/coqui-ai/TTS</t>
  </si>
  <si>
    <t xml:space="preserve">Piper LibriTTS voice model (en_US-libritts-high)</t>
  </si>
  <si>
    <t xml:space="preserve">TTS voice model, 904 speakers</t>
  </si>
  <si>
    <t xml:space="preserve">Model MIT; dataset CC BY 4.0</t>
  </si>
  <si>
    <t xml:space="preserve">Used for the MP3s in this package – natural, varied voices, commercial use OK</t>
  </si>
  <si>
    <t xml:space="preserve">https://github.com/rhasspy/piper/releases/tag/v0.0.2</t>
  </si>
  <si>
    <t xml:space="preserve">Cambridge / British Council sample B1 papers</t>
  </si>
  <si>
    <t xml:space="preserve">Text + audio</t>
  </si>
  <si>
    <t xml:space="preserve">Copyrighted – reference only</t>
  </si>
  <si>
    <t xml:space="preserve">Calibrate difficulty and formats; do not copy items</t>
  </si>
  <si>
    <t xml:space="preserve">https://www.cambridgeenglish.org  |  https://learnenglish.britishcouncil.org</t>
  </si>
  <si>
    <t xml:space="preserve">All questions in this workbook are original and written for this assessment; they are modelled on the format of the TestGorilla preview items but do not reproduce them.</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</si>
</sst>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color rgb="FF595959"/>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2EFDA"/>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n">
        <f aca="false">Questions!$B$20</f>
        <v>16</v>
      </c>
    </row>
    <row r="6" customFormat="false" ht="15" hidden="false" customHeight="false" outlineLevel="0" collapsed="false">
      <c r="A6" s="2" t="s">
        <v>6</v>
      </c>
      <c r="B6" s="3" t="s">
        <v>7</v>
      </c>
    </row>
    <row r="7" customFormat="false" ht="15" hidden="false" customHeight="false" outlineLevel="0" collapsed="false">
      <c r="A7" s="2" t="s">
        <v>8</v>
      </c>
      <c r="B7" s="3" t="s">
        <v>9</v>
      </c>
    </row>
    <row r="8" customFormat="false" ht="15" hidden="false" customHeight="false" outlineLevel="0" collapsed="false">
      <c r="A8" s="2" t="s">
        <v>10</v>
      </c>
      <c r="B8" s="3" t="s">
        <v>11</v>
      </c>
    </row>
    <row r="9" customFormat="false" ht="23.85" hidden="false" customHeight="false" outlineLevel="0" collapsed="false">
      <c r="A9" s="2" t="s">
        <v>12</v>
      </c>
      <c r="B9" s="3" t="s">
        <v>13</v>
      </c>
    </row>
    <row r="10" customFormat="false" ht="46.25" hidden="false" customHeight="false" outlineLevel="0" collapsed="false">
      <c r="A10" s="2" t="s">
        <v>14</v>
      </c>
      <c r="B10" s="3" t="s">
        <v>15</v>
      </c>
    </row>
    <row r="11" customFormat="false" ht="23.85" hidden="false" customHeight="false" outlineLevel="0" collapsed="false">
      <c r="A11" s="2" t="s">
        <v>16</v>
      </c>
      <c r="B11" s="3" t="s">
        <v>17</v>
      </c>
    </row>
    <row r="12" customFormat="false" ht="102.2" hidden="false" customHeight="false" outlineLevel="0" collapsed="false">
      <c r="A12" s="2" t="s">
        <v>18</v>
      </c>
      <c r="B12" s="3" t="s">
        <v>19</v>
      </c>
    </row>
    <row r="13" customFormat="false" ht="57.45" hidden="false" customHeight="false" outlineLevel="0" collapsed="false">
      <c r="A13" s="2" t="s">
        <v>20</v>
      </c>
      <c r="B13" s="3" t="s">
        <v>21</v>
      </c>
    </row>
    <row r="14" customFormat="false" ht="15" hidden="false" customHeight="false" outlineLevel="0" collapsed="false">
      <c r="A14" s="2" t="s">
        <v>22</v>
      </c>
      <c r="B14" s="3" t="s">
        <v>23</v>
      </c>
    </row>
    <row r="15" customFormat="false" ht="15" hidden="false" customHeight="false" outlineLevel="0" collapsed="false">
      <c r="A15" s="2" t="s">
        <v>24</v>
      </c>
      <c r="B15" s="3" t="s">
        <v>25</v>
      </c>
    </row>
    <row r="16" customFormat="false" ht="15" hidden="false" customHeight="false" outlineLevel="0" collapsed="false">
      <c r="A16" s="2" t="s">
        <v>26</v>
      </c>
      <c r="B16" s="3"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4"/>
    <col collapsed="false" customWidth="true" hidden="false" outlineLevel="0" max="4" min="4" style="0" width="48"/>
    <col collapsed="false" customWidth="true" hidden="false" outlineLevel="0" max="5" min="5" style="0" width="44"/>
    <col collapsed="false" customWidth="true" hidden="false" outlineLevel="0" max="6" min="6" style="0" width="22"/>
    <col collapsed="false" customWidth="true" hidden="false" outlineLevel="0" max="10" min="7" style="0" width="30"/>
    <col collapsed="false" customWidth="true" hidden="false" outlineLevel="0" max="11" min="11" style="0" width="6"/>
    <col collapsed="false" customWidth="true" hidden="false" outlineLevel="0" max="12" min="12" style="0" width="32"/>
    <col collapsed="false" customWidth="true" hidden="false" outlineLevel="0" max="13" min="13" style="0" width="50"/>
    <col collapsed="false" customWidth="true" hidden="false" outlineLevel="0" max="14" min="14" style="0" width="10"/>
  </cols>
  <sheetData>
    <row r="1" customFormat="false" ht="15" hidden="false" customHeight="false" outlineLevel="0" collapsed="false">
      <c r="A1" s="4" t="s">
        <v>28</v>
      </c>
      <c r="B1" s="4" t="s">
        <v>29</v>
      </c>
      <c r="C1" s="4" t="s">
        <v>30</v>
      </c>
      <c r="D1" s="4" t="s">
        <v>31</v>
      </c>
      <c r="E1" s="4" t="s">
        <v>32</v>
      </c>
      <c r="F1" s="4" t="s">
        <v>33</v>
      </c>
      <c r="G1" s="4" t="s">
        <v>34</v>
      </c>
      <c r="H1" s="4" t="s">
        <v>35</v>
      </c>
      <c r="I1" s="4" t="s">
        <v>36</v>
      </c>
      <c r="J1" s="4" t="s">
        <v>37</v>
      </c>
      <c r="K1" s="4" t="s">
        <v>38</v>
      </c>
      <c r="L1" s="4" t="s">
        <v>39</v>
      </c>
      <c r="M1" s="4" t="s">
        <v>40</v>
      </c>
      <c r="N1" s="4" t="s">
        <v>41</v>
      </c>
    </row>
    <row r="2" customFormat="false" ht="35.05" hidden="false" customHeight="false" outlineLevel="0" collapsed="false">
      <c r="A2" s="5" t="s">
        <v>42</v>
      </c>
      <c r="B2" s="5" t="s">
        <v>43</v>
      </c>
      <c r="C2" s="5" t="s">
        <v>44</v>
      </c>
      <c r="D2" s="5"/>
      <c r="E2" s="5" t="s">
        <v>45</v>
      </c>
      <c r="F2" s="5" t="s">
        <v>46</v>
      </c>
      <c r="G2" s="5" t="s">
        <v>47</v>
      </c>
      <c r="H2" s="5" t="s">
        <v>48</v>
      </c>
      <c r="I2" s="5" t="s">
        <v>49</v>
      </c>
      <c r="J2" s="5" t="s">
        <v>50</v>
      </c>
      <c r="K2" s="6" t="s">
        <v>51</v>
      </c>
      <c r="L2" s="6" t="s">
        <v>47</v>
      </c>
      <c r="M2" s="5" t="s">
        <v>52</v>
      </c>
      <c r="N2" s="5" t="s">
        <v>53</v>
      </c>
    </row>
    <row r="3" customFormat="false" ht="35.05" hidden="false" customHeight="false" outlineLevel="0" collapsed="false">
      <c r="A3" s="5" t="s">
        <v>54</v>
      </c>
      <c r="B3" s="5" t="s">
        <v>43</v>
      </c>
      <c r="C3" s="5" t="s">
        <v>44</v>
      </c>
      <c r="D3" s="5"/>
      <c r="E3" s="5" t="s">
        <v>55</v>
      </c>
      <c r="F3" s="5" t="s">
        <v>46</v>
      </c>
      <c r="G3" s="5" t="s">
        <v>56</v>
      </c>
      <c r="H3" s="5" t="s">
        <v>57</v>
      </c>
      <c r="I3" s="5" t="s">
        <v>58</v>
      </c>
      <c r="J3" s="5" t="s">
        <v>59</v>
      </c>
      <c r="K3" s="6" t="s">
        <v>60</v>
      </c>
      <c r="L3" s="6" t="s">
        <v>57</v>
      </c>
      <c r="M3" s="5" t="s">
        <v>61</v>
      </c>
      <c r="N3" s="5" t="s">
        <v>53</v>
      </c>
    </row>
    <row r="4" customFormat="false" ht="23.85" hidden="false" customHeight="false" outlineLevel="0" collapsed="false">
      <c r="A4" s="5" t="s">
        <v>62</v>
      </c>
      <c r="B4" s="5" t="s">
        <v>43</v>
      </c>
      <c r="C4" s="5" t="s">
        <v>44</v>
      </c>
      <c r="D4" s="5"/>
      <c r="E4" s="5" t="s">
        <v>63</v>
      </c>
      <c r="F4" s="5" t="s">
        <v>46</v>
      </c>
      <c r="G4" s="5" t="s">
        <v>64</v>
      </c>
      <c r="H4" s="5" t="s">
        <v>65</v>
      </c>
      <c r="I4" s="5" t="s">
        <v>66</v>
      </c>
      <c r="J4" s="5" t="s">
        <v>67</v>
      </c>
      <c r="K4" s="6" t="s">
        <v>68</v>
      </c>
      <c r="L4" s="6" t="s">
        <v>66</v>
      </c>
      <c r="M4" s="5" t="s">
        <v>69</v>
      </c>
      <c r="N4" s="5" t="s">
        <v>53</v>
      </c>
    </row>
    <row r="5" customFormat="false" ht="35.05" hidden="false" customHeight="false" outlineLevel="0" collapsed="false">
      <c r="A5" s="5" t="s">
        <v>70</v>
      </c>
      <c r="B5" s="5" t="s">
        <v>43</v>
      </c>
      <c r="C5" s="5" t="s">
        <v>71</v>
      </c>
      <c r="D5" s="5"/>
      <c r="E5" s="5" t="s">
        <v>72</v>
      </c>
      <c r="F5" s="5" t="s">
        <v>46</v>
      </c>
      <c r="G5" s="5" t="s">
        <v>73</v>
      </c>
      <c r="H5" s="5" t="s">
        <v>74</v>
      </c>
      <c r="I5" s="5" t="s">
        <v>75</v>
      </c>
      <c r="J5" s="5" t="s">
        <v>76</v>
      </c>
      <c r="K5" s="6" t="s">
        <v>77</v>
      </c>
      <c r="L5" s="6" t="s">
        <v>76</v>
      </c>
      <c r="M5" s="5" t="s">
        <v>78</v>
      </c>
      <c r="N5" s="5" t="s">
        <v>79</v>
      </c>
    </row>
    <row r="6" customFormat="false" ht="23.85" hidden="false" customHeight="false" outlineLevel="0" collapsed="false">
      <c r="A6" s="5" t="s">
        <v>80</v>
      </c>
      <c r="B6" s="5" t="s">
        <v>81</v>
      </c>
      <c r="C6" s="5" t="s">
        <v>82</v>
      </c>
      <c r="D6" s="5"/>
      <c r="E6" s="5" t="s">
        <v>83</v>
      </c>
      <c r="F6" s="5" t="s">
        <v>46</v>
      </c>
      <c r="G6" s="5" t="s">
        <v>84</v>
      </c>
      <c r="H6" s="5" t="s">
        <v>85</v>
      </c>
      <c r="I6" s="5" t="s">
        <v>86</v>
      </c>
      <c r="J6" s="5" t="s">
        <v>87</v>
      </c>
      <c r="K6" s="6" t="s">
        <v>60</v>
      </c>
      <c r="L6" s="6" t="s">
        <v>85</v>
      </c>
      <c r="M6" s="5" t="s">
        <v>88</v>
      </c>
      <c r="N6" s="5" t="s">
        <v>79</v>
      </c>
    </row>
    <row r="7" customFormat="false" ht="23.85" hidden="false" customHeight="false" outlineLevel="0" collapsed="false">
      <c r="A7" s="5" t="s">
        <v>89</v>
      </c>
      <c r="B7" s="5" t="s">
        <v>81</v>
      </c>
      <c r="C7" s="5" t="s">
        <v>90</v>
      </c>
      <c r="D7" s="5"/>
      <c r="E7" s="5" t="s">
        <v>91</v>
      </c>
      <c r="F7" s="5" t="s">
        <v>46</v>
      </c>
      <c r="G7" s="5" t="s">
        <v>92</v>
      </c>
      <c r="H7" s="5" t="s">
        <v>93</v>
      </c>
      <c r="I7" s="5" t="s">
        <v>94</v>
      </c>
      <c r="J7" s="5" t="s">
        <v>95</v>
      </c>
      <c r="K7" s="6" t="s">
        <v>51</v>
      </c>
      <c r="L7" s="6" t="s">
        <v>92</v>
      </c>
      <c r="M7" s="5" t="s">
        <v>96</v>
      </c>
      <c r="N7" s="5" t="s">
        <v>53</v>
      </c>
    </row>
    <row r="8" customFormat="false" ht="35.05" hidden="false" customHeight="false" outlineLevel="0" collapsed="false">
      <c r="A8" s="5" t="s">
        <v>97</v>
      </c>
      <c r="B8" s="5" t="s">
        <v>81</v>
      </c>
      <c r="C8" s="5" t="s">
        <v>98</v>
      </c>
      <c r="D8" s="5" t="s">
        <v>99</v>
      </c>
      <c r="E8" s="5" t="s">
        <v>100</v>
      </c>
      <c r="F8" s="5" t="s">
        <v>46</v>
      </c>
      <c r="G8" s="5" t="s">
        <v>101</v>
      </c>
      <c r="H8" s="5" t="s">
        <v>102</v>
      </c>
      <c r="I8" s="5" t="s">
        <v>103</v>
      </c>
      <c r="J8" s="5" t="s">
        <v>104</v>
      </c>
      <c r="K8" s="6" t="s">
        <v>68</v>
      </c>
      <c r="L8" s="6" t="s">
        <v>103</v>
      </c>
      <c r="M8" s="5" t="s">
        <v>105</v>
      </c>
      <c r="N8" s="5" t="s">
        <v>79</v>
      </c>
    </row>
    <row r="9" customFormat="false" ht="35.05" hidden="false" customHeight="false" outlineLevel="0" collapsed="false">
      <c r="A9" s="5" t="s">
        <v>106</v>
      </c>
      <c r="B9" s="5" t="s">
        <v>81</v>
      </c>
      <c r="C9" s="5" t="s">
        <v>107</v>
      </c>
      <c r="D9" s="5" t="s">
        <v>108</v>
      </c>
      <c r="E9" s="5" t="s">
        <v>109</v>
      </c>
      <c r="F9" s="5" t="s">
        <v>46</v>
      </c>
      <c r="G9" s="5" t="s">
        <v>110</v>
      </c>
      <c r="H9" s="5" t="s">
        <v>111</v>
      </c>
      <c r="I9" s="5" t="s">
        <v>112</v>
      </c>
      <c r="J9" s="5" t="s">
        <v>113</v>
      </c>
      <c r="K9" s="6" t="s">
        <v>60</v>
      </c>
      <c r="L9" s="6" t="s">
        <v>111</v>
      </c>
      <c r="M9" s="5" t="s">
        <v>114</v>
      </c>
      <c r="N9" s="5" t="s">
        <v>79</v>
      </c>
    </row>
    <row r="10" customFormat="false" ht="35.05" hidden="false" customHeight="false" outlineLevel="0" collapsed="false">
      <c r="A10" s="5" t="s">
        <v>115</v>
      </c>
      <c r="B10" s="5" t="s">
        <v>116</v>
      </c>
      <c r="C10" s="5" t="s">
        <v>117</v>
      </c>
      <c r="D10" s="5" t="s">
        <v>118</v>
      </c>
      <c r="E10" s="5" t="s">
        <v>119</v>
      </c>
      <c r="F10" s="5" t="s">
        <v>46</v>
      </c>
      <c r="G10" s="5" t="s">
        <v>120</v>
      </c>
      <c r="H10" s="5" t="s">
        <v>121</v>
      </c>
      <c r="I10" s="5"/>
      <c r="J10" s="5"/>
      <c r="K10" s="6" t="s">
        <v>51</v>
      </c>
      <c r="L10" s="6" t="s">
        <v>120</v>
      </c>
      <c r="M10" s="5" t="s">
        <v>122</v>
      </c>
      <c r="N10" s="5" t="s">
        <v>79</v>
      </c>
    </row>
    <row r="11" customFormat="false" ht="68.65" hidden="false" customHeight="false" outlineLevel="0" collapsed="false">
      <c r="A11" s="5" t="s">
        <v>123</v>
      </c>
      <c r="B11" s="5" t="s">
        <v>116</v>
      </c>
      <c r="C11" s="5" t="s">
        <v>124</v>
      </c>
      <c r="D11" s="5" t="s">
        <v>125</v>
      </c>
      <c r="E11" s="5" t="s">
        <v>126</v>
      </c>
      <c r="F11" s="5" t="s">
        <v>46</v>
      </c>
      <c r="G11" s="5" t="s">
        <v>127</v>
      </c>
      <c r="H11" s="5" t="s">
        <v>128</v>
      </c>
      <c r="I11" s="5" t="s">
        <v>129</v>
      </c>
      <c r="J11" s="5" t="s">
        <v>130</v>
      </c>
      <c r="K11" s="6" t="s">
        <v>60</v>
      </c>
      <c r="L11" s="6" t="s">
        <v>128</v>
      </c>
      <c r="M11" s="5" t="s">
        <v>131</v>
      </c>
      <c r="N11" s="5" t="s">
        <v>53</v>
      </c>
    </row>
    <row r="12" customFormat="false" ht="35.05" hidden="false" customHeight="false" outlineLevel="0" collapsed="false">
      <c r="A12" s="5" t="s">
        <v>132</v>
      </c>
      <c r="B12" s="5" t="s">
        <v>116</v>
      </c>
      <c r="C12" s="5" t="s">
        <v>133</v>
      </c>
      <c r="D12" s="5" t="s">
        <v>134</v>
      </c>
      <c r="E12" s="5" t="s">
        <v>135</v>
      </c>
      <c r="F12" s="5" t="s">
        <v>46</v>
      </c>
      <c r="G12" s="5" t="s">
        <v>136</v>
      </c>
      <c r="H12" s="5" t="s">
        <v>137</v>
      </c>
      <c r="I12" s="5" t="s">
        <v>138</v>
      </c>
      <c r="J12" s="5" t="s">
        <v>139</v>
      </c>
      <c r="K12" s="6" t="s">
        <v>68</v>
      </c>
      <c r="L12" s="6" t="s">
        <v>138</v>
      </c>
      <c r="M12" s="5" t="s">
        <v>140</v>
      </c>
      <c r="N12" s="5" t="s">
        <v>141</v>
      </c>
    </row>
    <row r="13" customFormat="false" ht="46.25" hidden="false" customHeight="false" outlineLevel="0" collapsed="false">
      <c r="A13" s="5" t="s">
        <v>142</v>
      </c>
      <c r="B13" s="5" t="s">
        <v>116</v>
      </c>
      <c r="C13" s="5" t="s">
        <v>143</v>
      </c>
      <c r="D13" s="5" t="s">
        <v>144</v>
      </c>
      <c r="E13" s="5" t="s">
        <v>145</v>
      </c>
      <c r="F13" s="5" t="s">
        <v>46</v>
      </c>
      <c r="G13" s="5" t="s">
        <v>146</v>
      </c>
      <c r="H13" s="5" t="s">
        <v>147</v>
      </c>
      <c r="I13" s="5" t="s">
        <v>148</v>
      </c>
      <c r="J13" s="5" t="s">
        <v>149</v>
      </c>
      <c r="K13" s="6" t="s">
        <v>60</v>
      </c>
      <c r="L13" s="6" t="s">
        <v>147</v>
      </c>
      <c r="M13" s="5" t="s">
        <v>150</v>
      </c>
      <c r="N13" s="5" t="s">
        <v>79</v>
      </c>
    </row>
    <row r="14" customFormat="false" ht="23.85" hidden="false" customHeight="false" outlineLevel="0" collapsed="false">
      <c r="A14" s="5" t="s">
        <v>151</v>
      </c>
      <c r="B14" s="5" t="s">
        <v>152</v>
      </c>
      <c r="C14" s="5" t="s">
        <v>153</v>
      </c>
      <c r="D14" s="5"/>
      <c r="E14" s="5" t="s">
        <v>154</v>
      </c>
      <c r="F14" s="5" t="s">
        <v>155</v>
      </c>
      <c r="G14" s="5" t="s">
        <v>156</v>
      </c>
      <c r="H14" s="5" t="s">
        <v>157</v>
      </c>
      <c r="I14" s="5" t="s">
        <v>158</v>
      </c>
      <c r="J14" s="5" t="s">
        <v>159</v>
      </c>
      <c r="K14" s="6" t="s">
        <v>77</v>
      </c>
      <c r="L14" s="6" t="s">
        <v>159</v>
      </c>
      <c r="M14" s="5" t="s">
        <v>160</v>
      </c>
      <c r="N14" s="5" t="s">
        <v>79</v>
      </c>
    </row>
    <row r="15" customFormat="false" ht="23.85" hidden="false" customHeight="false" outlineLevel="0" collapsed="false">
      <c r="A15" s="5" t="s">
        <v>161</v>
      </c>
      <c r="B15" s="5" t="s">
        <v>152</v>
      </c>
      <c r="C15" s="5" t="s">
        <v>153</v>
      </c>
      <c r="D15" s="5"/>
      <c r="E15" s="5" t="s">
        <v>162</v>
      </c>
      <c r="F15" s="5" t="s">
        <v>163</v>
      </c>
      <c r="G15" s="5" t="s">
        <v>164</v>
      </c>
      <c r="H15" s="5" t="s">
        <v>165</v>
      </c>
      <c r="I15" s="5" t="s">
        <v>166</v>
      </c>
      <c r="J15" s="5" t="s">
        <v>167</v>
      </c>
      <c r="K15" s="6" t="s">
        <v>60</v>
      </c>
      <c r="L15" s="6" t="s">
        <v>165</v>
      </c>
      <c r="M15" s="5" t="s">
        <v>168</v>
      </c>
      <c r="N15" s="5" t="s">
        <v>79</v>
      </c>
    </row>
    <row r="16" customFormat="false" ht="35.05" hidden="false" customHeight="false" outlineLevel="0" collapsed="false">
      <c r="A16" s="5" t="s">
        <v>169</v>
      </c>
      <c r="B16" s="5" t="s">
        <v>152</v>
      </c>
      <c r="C16" s="5" t="s">
        <v>170</v>
      </c>
      <c r="D16" s="5"/>
      <c r="E16" s="5" t="s">
        <v>171</v>
      </c>
      <c r="F16" s="5" t="s">
        <v>172</v>
      </c>
      <c r="G16" s="5" t="s">
        <v>173</v>
      </c>
      <c r="H16" s="5" t="s">
        <v>174</v>
      </c>
      <c r="I16" s="5" t="s">
        <v>175</v>
      </c>
      <c r="J16" s="5" t="s">
        <v>176</v>
      </c>
      <c r="K16" s="6" t="s">
        <v>68</v>
      </c>
      <c r="L16" s="6" t="s">
        <v>175</v>
      </c>
      <c r="M16" s="5" t="s">
        <v>177</v>
      </c>
      <c r="N16" s="5" t="s">
        <v>141</v>
      </c>
    </row>
    <row r="17" customFormat="false" ht="23.85" hidden="false" customHeight="false" outlineLevel="0" collapsed="false">
      <c r="A17" s="5" t="s">
        <v>178</v>
      </c>
      <c r="B17" s="5" t="s">
        <v>152</v>
      </c>
      <c r="C17" s="5" t="s">
        <v>153</v>
      </c>
      <c r="D17" s="5"/>
      <c r="E17" s="5" t="s">
        <v>179</v>
      </c>
      <c r="F17" s="5" t="s">
        <v>180</v>
      </c>
      <c r="G17" s="5" t="s">
        <v>181</v>
      </c>
      <c r="H17" s="5" t="s">
        <v>182</v>
      </c>
      <c r="I17" s="5" t="s">
        <v>183</v>
      </c>
      <c r="J17" s="5" t="s">
        <v>184</v>
      </c>
      <c r="K17" s="6" t="s">
        <v>68</v>
      </c>
      <c r="L17" s="6" t="s">
        <v>183</v>
      </c>
      <c r="M17" s="5" t="s">
        <v>185</v>
      </c>
      <c r="N17" s="5" t="s">
        <v>79</v>
      </c>
    </row>
    <row r="19" customFormat="false" ht="15" hidden="false" customHeight="false" outlineLevel="0" collapsed="false">
      <c r="A19" s="7" t="s">
        <v>186</v>
      </c>
    </row>
    <row r="20" customFormat="false" ht="15" hidden="false" customHeight="false" outlineLevel="0" collapsed="false">
      <c r="A20" s="8" t="s">
        <v>187</v>
      </c>
      <c r="B20" s="7" t="n">
        <f aca="false">COUNTA(A2:A17)</f>
        <v>16</v>
      </c>
    </row>
    <row r="21" customFormat="false" ht="15" hidden="false" customHeight="false" outlineLevel="0" collapsed="false">
      <c r="A21" s="8" t="s">
        <v>43</v>
      </c>
      <c r="B21" s="7" t="n">
        <f aca="false">COUNTIF(B2:B17,"Grammar &amp; vocabulary")</f>
        <v>4</v>
      </c>
    </row>
    <row r="22" customFormat="false" ht="15" hidden="false" customHeight="false" outlineLevel="0" collapsed="false">
      <c r="A22" s="8" t="s">
        <v>81</v>
      </c>
      <c r="B22" s="7" t="n">
        <f aca="false">COUNTIF(B2:B17,"Sentence composition")</f>
        <v>4</v>
      </c>
    </row>
    <row r="23" customFormat="false" ht="15" hidden="false" customHeight="false" outlineLevel="0" collapsed="false">
      <c r="A23" s="8" t="s">
        <v>116</v>
      </c>
      <c r="B23" s="7" t="n">
        <f aca="false">COUNTIF(B2:B17,"Reading comprehension")</f>
        <v>4</v>
      </c>
    </row>
    <row r="24" customFormat="false" ht="15" hidden="false" customHeight="false" outlineLevel="0" collapsed="false">
      <c r="A24" s="8" t="s">
        <v>152</v>
      </c>
      <c r="B24" s="7" t="n">
        <f aca="false">COUNTIF(B2:B17,"Listening comprehension")</f>
        <v>4</v>
      </c>
    </row>
    <row r="26" customFormat="false" ht="15" hidden="false" customHeight="false" outlineLevel="0" collapsed="false">
      <c r="A26" s="9"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12"/>
    <col collapsed="false" customWidth="true" hidden="false" outlineLevel="0" max="4" min="4" style="0" width="22"/>
    <col collapsed="false" customWidth="true" hidden="false" outlineLevel="0" max="5" min="5" style="0" width="70"/>
    <col collapsed="false" customWidth="true" hidden="false" outlineLevel="0" max="6" min="6" style="0" width="44"/>
  </cols>
  <sheetData>
    <row r="1" customFormat="false" ht="26.85" hidden="false" customHeight="false" outlineLevel="0" collapsed="false">
      <c r="A1" s="4" t="s">
        <v>28</v>
      </c>
      <c r="B1" s="4" t="s">
        <v>189</v>
      </c>
      <c r="C1" s="4" t="s">
        <v>190</v>
      </c>
      <c r="D1" s="4" t="s">
        <v>191</v>
      </c>
      <c r="E1" s="4" t="s">
        <v>192</v>
      </c>
      <c r="F1" s="4" t="s">
        <v>193</v>
      </c>
    </row>
    <row r="2" customFormat="false" ht="35.05" hidden="false" customHeight="false" outlineLevel="0" collapsed="false">
      <c r="A2" s="5" t="s">
        <v>151</v>
      </c>
      <c r="B2" s="5" t="s">
        <v>194</v>
      </c>
      <c r="C2" s="5" t="s">
        <v>195</v>
      </c>
      <c r="D2" s="5" t="s">
        <v>196</v>
      </c>
      <c r="E2" s="5" t="s">
        <v>197</v>
      </c>
      <c r="F2" s="5" t="s">
        <v>198</v>
      </c>
    </row>
    <row r="3" customFormat="false" ht="35.05" hidden="false" customHeight="false" outlineLevel="0" collapsed="false">
      <c r="A3" s="5" t="s">
        <v>161</v>
      </c>
      <c r="B3" s="5" t="s">
        <v>199</v>
      </c>
      <c r="C3" s="5" t="s">
        <v>200</v>
      </c>
      <c r="D3" s="5" t="s">
        <v>201</v>
      </c>
      <c r="E3" s="5" t="s">
        <v>202</v>
      </c>
      <c r="F3" s="5" t="s">
        <v>203</v>
      </c>
    </row>
    <row r="4" customFormat="false" ht="23.85" hidden="false" customHeight="false" outlineLevel="0" collapsed="false">
      <c r="A4" s="5" t="s">
        <v>169</v>
      </c>
      <c r="B4" s="5" t="s">
        <v>204</v>
      </c>
      <c r="C4" s="5" t="s">
        <v>195</v>
      </c>
      <c r="D4" s="5" t="s">
        <v>205</v>
      </c>
      <c r="E4" s="5" t="s">
        <v>206</v>
      </c>
      <c r="F4" s="5" t="s">
        <v>207</v>
      </c>
    </row>
    <row r="5" customFormat="false" ht="35.05" hidden="false" customHeight="false" outlineLevel="0" collapsed="false">
      <c r="A5" s="5" t="s">
        <v>178</v>
      </c>
      <c r="B5" s="5" t="s">
        <v>208</v>
      </c>
      <c r="C5" s="5" t="s">
        <v>209</v>
      </c>
      <c r="D5" s="5" t="s">
        <v>210</v>
      </c>
      <c r="E5" s="5" t="s">
        <v>211</v>
      </c>
      <c r="F5" s="5" t="s">
        <v>212</v>
      </c>
    </row>
    <row r="7" customFormat="false" ht="45" hidden="false" customHeight="true" outlineLevel="0" collapsed="false">
      <c r="A7" s="10" t="s">
        <v>213</v>
      </c>
      <c r="B7" s="10"/>
      <c r="C7" s="10"/>
      <c r="D7" s="10"/>
      <c r="E7" s="10"/>
      <c r="F7" s="10"/>
    </row>
  </sheetData>
  <mergeCells count="1">
    <mergeCell ref="A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16"/>
    <col collapsed="false" customWidth="true" hidden="false" outlineLevel="0" max="5" min="4" style="0" width="55"/>
  </cols>
  <sheetData>
    <row r="1" customFormat="false" ht="17.35" hidden="false" customHeight="false" outlineLevel="0" collapsed="false">
      <c r="A1" s="1" t="s">
        <v>214</v>
      </c>
    </row>
    <row r="3" customFormat="false" ht="15" hidden="false" customHeight="false" outlineLevel="0" collapsed="false">
      <c r="A3" s="7" t="s">
        <v>215</v>
      </c>
    </row>
    <row r="4" customFormat="false" ht="15" hidden="false" customHeight="true" outlineLevel="0" collapsed="false">
      <c r="A4" s="11" t="s">
        <v>216</v>
      </c>
      <c r="B4" s="11"/>
      <c r="C4" s="11"/>
      <c r="D4" s="11"/>
      <c r="E4" s="11"/>
    </row>
    <row r="5" customFormat="false" ht="15" hidden="false" customHeight="true" outlineLevel="0" collapsed="false">
      <c r="A5" s="11" t="s">
        <v>217</v>
      </c>
      <c r="B5" s="11"/>
      <c r="C5" s="11"/>
      <c r="D5" s="11"/>
      <c r="E5" s="11"/>
    </row>
    <row r="6" customFormat="false" ht="15" hidden="false" customHeight="true" outlineLevel="0" collapsed="false">
      <c r="A6" s="11" t="s">
        <v>218</v>
      </c>
      <c r="B6" s="11"/>
      <c r="C6" s="11"/>
      <c r="D6" s="11"/>
      <c r="E6" s="11"/>
    </row>
    <row r="7" customFormat="false" ht="15" hidden="false" customHeight="true" outlineLevel="0" collapsed="false">
      <c r="A7" s="11" t="s">
        <v>219</v>
      </c>
      <c r="B7" s="11"/>
      <c r="C7" s="11"/>
      <c r="D7" s="11"/>
      <c r="E7" s="11"/>
    </row>
    <row r="8" customFormat="false" ht="15" hidden="false" customHeight="true" outlineLevel="0" collapsed="false">
      <c r="A8" s="11" t="s">
        <v>220</v>
      </c>
      <c r="B8" s="11"/>
      <c r="C8" s="11"/>
      <c r="D8" s="11"/>
      <c r="E8" s="11"/>
    </row>
    <row r="9" customFormat="false" ht="15" hidden="false" customHeight="true" outlineLevel="0" collapsed="false">
      <c r="A9" s="11" t="s">
        <v>221</v>
      </c>
      <c r="B9" s="11"/>
      <c r="C9" s="11"/>
      <c r="D9" s="11"/>
      <c r="E9" s="11"/>
    </row>
    <row r="11" customFormat="false" ht="15" hidden="false" customHeight="false" outlineLevel="0" collapsed="false">
      <c r="A11" s="7" t="s">
        <v>222</v>
      </c>
    </row>
    <row r="12" customFormat="false" ht="15" hidden="false" customHeight="false" outlineLevel="0" collapsed="false">
      <c r="A12" s="8" t="s">
        <v>223</v>
      </c>
      <c r="B12" s="12" t="n">
        <v>12</v>
      </c>
      <c r="C12" s="9" t="s">
        <v>224</v>
      </c>
    </row>
    <row r="13" customFormat="false" ht="15" hidden="false" customHeight="false" outlineLevel="0" collapsed="false">
      <c r="A13" s="8" t="s">
        <v>187</v>
      </c>
      <c r="B13" s="7" t="n">
        <f aca="false">Questions!$B$20</f>
        <v>16</v>
      </c>
    </row>
    <row r="14" customFormat="false" ht="15" hidden="false" customHeight="false" outlineLevel="0" collapsed="false">
      <c r="A14" s="8" t="s">
        <v>225</v>
      </c>
      <c r="B14" s="13" t="n">
        <f aca="false">IF(B13=0,0,B12/B13)</f>
        <v>0.75</v>
      </c>
    </row>
    <row r="15" customFormat="false" ht="15" hidden="false" customHeight="false" outlineLevel="0" collapsed="false">
      <c r="A15" s="8" t="s">
        <v>226</v>
      </c>
      <c r="B15" s="7" t="str">
        <f aca="false">IF(B14&gt;=$A$20,$B$20,IF(B14&gt;=$A$21,$B$21,IF(B14&gt;=$A$22,$B$22,$B$23)))</f>
        <v>Solid B1</v>
      </c>
    </row>
    <row r="18" customFormat="false" ht="15" hidden="false" customHeight="false" outlineLevel="0" collapsed="false">
      <c r="A18" s="7" t="s">
        <v>227</v>
      </c>
    </row>
    <row r="19" customFormat="false" ht="15" hidden="false" customHeight="false" outlineLevel="0" collapsed="false">
      <c r="A19" s="4" t="s">
        <v>228</v>
      </c>
      <c r="B19" s="4" t="s">
        <v>226</v>
      </c>
      <c r="C19" s="4" t="s">
        <v>229</v>
      </c>
      <c r="D19" s="4" t="s">
        <v>230</v>
      </c>
      <c r="E19" s="4" t="s">
        <v>231</v>
      </c>
    </row>
    <row r="20" customFormat="false" ht="23.85" hidden="false" customHeight="false" outlineLevel="0" collapsed="false">
      <c r="A20" s="14" t="n">
        <v>0.88</v>
      </c>
      <c r="B20" s="5" t="s">
        <v>232</v>
      </c>
      <c r="C20" s="5" t="s">
        <v>233</v>
      </c>
      <c r="D20" s="5" t="s">
        <v>234</v>
      </c>
      <c r="E20" s="5" t="s">
        <v>235</v>
      </c>
    </row>
    <row r="21" customFormat="false" ht="23.85" hidden="false" customHeight="false" outlineLevel="0" collapsed="false">
      <c r="A21" s="14" t="n">
        <v>0.69</v>
      </c>
      <c r="B21" s="5" t="s">
        <v>236</v>
      </c>
      <c r="C21" s="5" t="s">
        <v>237</v>
      </c>
      <c r="D21" s="5" t="s">
        <v>238</v>
      </c>
      <c r="E21" s="5" t="s">
        <v>239</v>
      </c>
    </row>
    <row r="22" customFormat="false" ht="23.85" hidden="false" customHeight="false" outlineLevel="0" collapsed="false">
      <c r="A22" s="14" t="n">
        <v>0.5</v>
      </c>
      <c r="B22" s="5" t="s">
        <v>240</v>
      </c>
      <c r="C22" s="5" t="s">
        <v>241</v>
      </c>
      <c r="D22" s="5" t="s">
        <v>242</v>
      </c>
      <c r="E22" s="5" t="s">
        <v>243</v>
      </c>
    </row>
    <row r="23" customFormat="false" ht="15" hidden="false" customHeight="false" outlineLevel="0" collapsed="false">
      <c r="A23" s="14" t="n">
        <v>0</v>
      </c>
      <c r="B23" s="5" t="s">
        <v>244</v>
      </c>
      <c r="C23" s="5" t="s">
        <v>245</v>
      </c>
      <c r="D23" s="5" t="s">
        <v>246</v>
      </c>
      <c r="E23" s="5" t="s">
        <v>247</v>
      </c>
    </row>
    <row r="26" customFormat="false" ht="15" hidden="false" customHeight="false" outlineLevel="0" collapsed="false">
      <c r="A26" s="7" t="s">
        <v>248</v>
      </c>
    </row>
    <row r="27" customFormat="false" ht="15" hidden="false" customHeight="false" outlineLevel="0" collapsed="false">
      <c r="A27" s="4" t="s">
        <v>29</v>
      </c>
      <c r="B27" s="4" t="s">
        <v>249</v>
      </c>
      <c r="C27" s="4" t="s">
        <v>250</v>
      </c>
      <c r="D27" s="4" t="s">
        <v>251</v>
      </c>
      <c r="E27" s="4" t="s">
        <v>252</v>
      </c>
    </row>
    <row r="28" customFormat="false" ht="68.65" hidden="false" customHeight="false" outlineLevel="0" collapsed="false">
      <c r="A28" s="5" t="s">
        <v>43</v>
      </c>
      <c r="B28" s="5" t="s">
        <v>253</v>
      </c>
      <c r="C28" s="5" t="s">
        <v>254</v>
      </c>
      <c r="D28" s="5" t="s">
        <v>255</v>
      </c>
      <c r="E28" s="5" t="s">
        <v>256</v>
      </c>
    </row>
    <row r="29" customFormat="false" ht="57.45" hidden="false" customHeight="false" outlineLevel="0" collapsed="false">
      <c r="A29" s="5" t="s">
        <v>81</v>
      </c>
      <c r="B29" s="5" t="s">
        <v>257</v>
      </c>
      <c r="C29" s="5" t="s">
        <v>258</v>
      </c>
      <c r="D29" s="5" t="s">
        <v>259</v>
      </c>
      <c r="E29" s="5" t="s">
        <v>260</v>
      </c>
    </row>
    <row r="30" customFormat="false" ht="68.65" hidden="false" customHeight="false" outlineLevel="0" collapsed="false">
      <c r="A30" s="5" t="s">
        <v>116</v>
      </c>
      <c r="B30" s="5" t="s">
        <v>261</v>
      </c>
      <c r="C30" s="5" t="s">
        <v>262</v>
      </c>
      <c r="D30" s="5" t="s">
        <v>263</v>
      </c>
      <c r="E30" s="5" t="s">
        <v>264</v>
      </c>
    </row>
    <row r="31" customFormat="false" ht="68.65" hidden="false" customHeight="false" outlineLevel="0" collapsed="false">
      <c r="A31" s="5" t="s">
        <v>152</v>
      </c>
      <c r="B31" s="5" t="s">
        <v>265</v>
      </c>
      <c r="C31" s="5" t="s">
        <v>266</v>
      </c>
      <c r="D31" s="5" t="s">
        <v>267</v>
      </c>
      <c r="E31" s="5" t="s">
        <v>268</v>
      </c>
    </row>
    <row r="33" customFormat="false" ht="15" hidden="false" customHeight="false" outlineLevel="0" collapsed="false">
      <c r="A33" s="9" t="s">
        <v>269</v>
      </c>
    </row>
  </sheetData>
  <mergeCells count="6">
    <mergeCell ref="A4:E4"/>
    <mergeCell ref="A5:E5"/>
    <mergeCell ref="A6:E6"/>
    <mergeCell ref="A7:E7"/>
    <mergeCell ref="A8:E8"/>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30"/>
    <col collapsed="false" customWidth="true" hidden="false" outlineLevel="0" max="4" min="4" style="0" width="52"/>
    <col collapsed="false" customWidth="true" hidden="false" outlineLevel="0" max="5" min="5" style="0" width="55"/>
  </cols>
  <sheetData>
    <row r="1" customFormat="false" ht="15" hidden="false" customHeight="false" outlineLevel="0" collapsed="false">
      <c r="A1" s="4" t="s">
        <v>270</v>
      </c>
      <c r="B1" s="4" t="s">
        <v>271</v>
      </c>
      <c r="C1" s="4" t="s">
        <v>272</v>
      </c>
      <c r="D1" s="4" t="s">
        <v>273</v>
      </c>
      <c r="E1" s="4" t="s">
        <v>274</v>
      </c>
    </row>
    <row r="2" customFormat="false" ht="23.85" hidden="false" customHeight="false" outlineLevel="0" collapsed="false">
      <c r="A2" s="5" t="s">
        <v>275</v>
      </c>
      <c r="B2" s="5" t="s">
        <v>276</v>
      </c>
      <c r="C2" s="5" t="s">
        <v>277</v>
      </c>
      <c r="D2" s="5" t="s">
        <v>278</v>
      </c>
      <c r="E2" s="5" t="s">
        <v>279</v>
      </c>
    </row>
    <row r="3" customFormat="false" ht="23.85" hidden="false" customHeight="false" outlineLevel="0" collapsed="false">
      <c r="A3" s="5" t="s">
        <v>280</v>
      </c>
      <c r="B3" s="5" t="s">
        <v>281</v>
      </c>
      <c r="C3" s="5" t="s">
        <v>282</v>
      </c>
      <c r="D3" s="5" t="s">
        <v>283</v>
      </c>
      <c r="E3" s="5" t="s">
        <v>284</v>
      </c>
    </row>
    <row r="4" customFormat="false" ht="23.85" hidden="false" customHeight="false" outlineLevel="0" collapsed="false">
      <c r="A4" s="5" t="s">
        <v>285</v>
      </c>
      <c r="B4" s="5" t="s">
        <v>286</v>
      </c>
      <c r="C4" s="5" t="s">
        <v>287</v>
      </c>
      <c r="D4" s="5" t="s">
        <v>288</v>
      </c>
      <c r="E4" s="5" t="s">
        <v>289</v>
      </c>
    </row>
    <row r="5" customFormat="false" ht="15" hidden="false" customHeight="false" outlineLevel="0" collapsed="false">
      <c r="A5" s="5" t="s">
        <v>290</v>
      </c>
      <c r="B5" s="5" t="s">
        <v>291</v>
      </c>
      <c r="C5" s="5" t="s">
        <v>292</v>
      </c>
      <c r="D5" s="5" t="s">
        <v>293</v>
      </c>
      <c r="E5" s="5" t="s">
        <v>294</v>
      </c>
    </row>
    <row r="6" customFormat="false" ht="23.85" hidden="false" customHeight="false" outlineLevel="0" collapsed="false">
      <c r="A6" s="5" t="s">
        <v>295</v>
      </c>
      <c r="B6" s="5" t="s">
        <v>296</v>
      </c>
      <c r="C6" s="5" t="s">
        <v>297</v>
      </c>
      <c r="D6" s="5" t="s">
        <v>298</v>
      </c>
      <c r="E6" s="5" t="s">
        <v>299</v>
      </c>
    </row>
    <row r="7" customFormat="false" ht="15" hidden="false" customHeight="false" outlineLevel="0" collapsed="false">
      <c r="A7" s="5" t="s">
        <v>300</v>
      </c>
      <c r="B7" s="5" t="s">
        <v>301</v>
      </c>
      <c r="C7" s="5" t="s">
        <v>297</v>
      </c>
      <c r="D7" s="5" t="s">
        <v>302</v>
      </c>
      <c r="E7" s="5" t="s">
        <v>303</v>
      </c>
    </row>
    <row r="8" customFormat="false" ht="15" hidden="false" customHeight="false" outlineLevel="0" collapsed="false">
      <c r="A8" s="5" t="s">
        <v>304</v>
      </c>
      <c r="B8" s="5" t="s">
        <v>301</v>
      </c>
      <c r="C8" s="5" t="s">
        <v>305</v>
      </c>
      <c r="D8" s="5" t="s">
        <v>306</v>
      </c>
      <c r="E8" s="5" t="s">
        <v>307</v>
      </c>
    </row>
    <row r="9" customFormat="false" ht="15" hidden="false" customHeight="false" outlineLevel="0" collapsed="false">
      <c r="A9" s="5" t="s">
        <v>308</v>
      </c>
      <c r="B9" s="5" t="s">
        <v>309</v>
      </c>
      <c r="C9" s="5" t="s">
        <v>310</v>
      </c>
      <c r="D9" s="5" t="s">
        <v>311</v>
      </c>
      <c r="E9" s="5" t="s">
        <v>312</v>
      </c>
    </row>
    <row r="10" customFormat="false" ht="23.85" hidden="false" customHeight="false" outlineLevel="0" collapsed="false">
      <c r="A10" s="5" t="s">
        <v>313</v>
      </c>
      <c r="B10" s="5" t="s">
        <v>314</v>
      </c>
      <c r="C10" s="5" t="s">
        <v>315</v>
      </c>
      <c r="D10" s="5" t="s">
        <v>316</v>
      </c>
      <c r="E10" s="5" t="s">
        <v>317</v>
      </c>
    </row>
    <row r="11" customFormat="false" ht="23.85" hidden="false" customHeight="false" outlineLevel="0" collapsed="false">
      <c r="A11" s="5" t="s">
        <v>318</v>
      </c>
      <c r="B11" s="5" t="s">
        <v>319</v>
      </c>
      <c r="C11" s="5" t="s">
        <v>320</v>
      </c>
      <c r="D11" s="5" t="s">
        <v>321</v>
      </c>
      <c r="E11" s="5" t="s">
        <v>322</v>
      </c>
    </row>
    <row r="12" customFormat="false" ht="23.85" hidden="false" customHeight="false" outlineLevel="0" collapsed="false">
      <c r="A12" s="5" t="s">
        <v>323</v>
      </c>
      <c r="B12" s="5" t="s">
        <v>324</v>
      </c>
      <c r="C12" s="5" t="s">
        <v>325</v>
      </c>
      <c r="D12" s="5" t="s">
        <v>326</v>
      </c>
      <c r="E12" s="5" t="s">
        <v>327</v>
      </c>
    </row>
    <row r="13" customFormat="false" ht="23.85" hidden="false" customHeight="false" outlineLevel="0" collapsed="false">
      <c r="A13" s="5" t="s">
        <v>328</v>
      </c>
      <c r="B13" s="5" t="s">
        <v>329</v>
      </c>
      <c r="C13" s="5" t="s">
        <v>330</v>
      </c>
      <c r="D13" s="5" t="s">
        <v>331</v>
      </c>
      <c r="E13" s="5" t="s">
        <v>332</v>
      </c>
    </row>
    <row r="15" customFormat="false" ht="15" hidden="false" customHeight="false" outlineLevel="0" collapsed="false">
      <c r="A15" s="9" t="s">
        <v>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2026-09-15T04:48:41Z</dcterms:created>
  <dc:creator>openpyxl</dc:creator>
  <dc:description/>
  <dc:language>en-US</dc:language>
  <cp:lastModifiedBy/>
  <dcterms:modified xsi:type="dcterms:W3CDTF">2026-09-15T04:48:41Z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